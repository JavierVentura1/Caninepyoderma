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Mi unidad\ChanLicona\"/>
    </mc:Choice>
  </mc:AlternateContent>
  <xr:revisionPtr revIDLastSave="0" documentId="13_ncr:1_{AB9AED47-FA32-4CE2-ABC6-8757D1131167}" xr6:coauthVersionLast="47" xr6:coauthVersionMax="47" xr10:uidLastSave="{00000000-0000-0000-0000-000000000000}"/>
  <bookViews>
    <workbookView xWindow="-108" yWindow="-108" windowWidth="23256" windowHeight="12456" xr2:uid="{00000000-000D-0000-FFFF-FFFF00000000}"/>
  </bookViews>
  <sheets>
    <sheet name="Sheet1" sheetId="1" r:id="rId1"/>
    <sheet name="Hoja1" sheetId="2" r:id="rId2"/>
    <sheet name="Hoja2" sheetId="3" r:id="rId3"/>
    <sheet name="Hoja3" sheetId="4" r:id="rId4"/>
    <sheet name="Hoja4" sheetId="5" r:id="rId5"/>
    <sheet name="Hoja5" sheetId="6" r:id="rId6"/>
    <sheet name="Hoja6"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2" i="4" l="1"/>
  <c r="C69" i="4" s="1"/>
  <c r="D67" i="4"/>
  <c r="C65" i="4" s="1"/>
  <c r="B54" i="4"/>
  <c r="C48" i="4" s="1"/>
  <c r="C39" i="4"/>
  <c r="B41" i="4"/>
  <c r="C40" i="4" s="1"/>
  <c r="D6" i="2"/>
  <c r="G2" i="2" s="1"/>
  <c r="C47" i="4" l="1"/>
  <c r="C64" i="4"/>
  <c r="C53" i="4"/>
  <c r="C67" i="4"/>
  <c r="C66" i="4"/>
  <c r="C52" i="4"/>
  <c r="C51" i="4"/>
  <c r="C50" i="4"/>
  <c r="C68" i="4"/>
  <c r="C49" i="4"/>
  <c r="C71" i="4"/>
  <c r="C70" i="4"/>
</calcChain>
</file>

<file path=xl/sharedStrings.xml><?xml version="1.0" encoding="utf-8"?>
<sst xmlns="http://schemas.openxmlformats.org/spreadsheetml/2006/main" count="1365" uniqueCount="684">
  <si>
    <t>ï»¿"Authors"</t>
  </si>
  <si>
    <t>Author full names</t>
  </si>
  <si>
    <t>Author(s) ID</t>
  </si>
  <si>
    <t>Title</t>
  </si>
  <si>
    <t>Year</t>
  </si>
  <si>
    <t>Source title</t>
  </si>
  <si>
    <t>Volume</t>
  </si>
  <si>
    <t>Issue</t>
  </si>
  <si>
    <t>Art. No.</t>
  </si>
  <si>
    <t>Page start</t>
  </si>
  <si>
    <t>Page end</t>
  </si>
  <si>
    <t>Page count</t>
  </si>
  <si>
    <t>Cited by</t>
  </si>
  <si>
    <t>DOI</t>
  </si>
  <si>
    <t>Link</t>
  </si>
  <si>
    <t>Document Type</t>
  </si>
  <si>
    <t>Publication Stage</t>
  </si>
  <si>
    <t>Open Access</t>
  </si>
  <si>
    <t>Source</t>
  </si>
  <si>
    <t>EID</t>
  </si>
  <si>
    <t>Meena A.; Thirunavukkarasu P.; Kavitha S.; Ananda Chitra M.</t>
  </si>
  <si>
    <t>Meena, A. (57210861225); Thirunavukkarasu, P. (57209547667); Kavitha, S. (59429686900); Ananda Chitra, M. (59158075500)</t>
  </si>
  <si>
    <t>57210861225; 57209547667; 59429686900; 59158075500</t>
  </si>
  <si>
    <t>Efficacy of amikacin in the management of recurrent staphylococcal pyoderma in dogs</t>
  </si>
  <si>
    <t>Indian Veterinary Journal</t>
  </si>
  <si>
    <t>https://www.scopus.com/inward/record.uri?eid=2-s2.0-85071718481&amp;partnerID=40&amp;md5=4bac6e4d4a713d44ed573f56fa4607b4</t>
  </si>
  <si>
    <t>Article</t>
  </si>
  <si>
    <t>Final</t>
  </si>
  <si>
    <t>Scopus</t>
  </si>
  <si>
    <t>2-s2.0-85071718481</t>
  </si>
  <si>
    <t>Eckholm N.G.; Outerbridge C.A.; White S.D.; Sykes J.E.</t>
  </si>
  <si>
    <t>Eckholm, Nicole G. (55889021200); Outerbridge, Catherine A. (6602227944); White, Stephen D. (35262950800); Sykes, Jane E. (7102756842)</t>
  </si>
  <si>
    <t>55889021200; 6602227944; 35262950800; 7102756842</t>
  </si>
  <si>
    <t>Prevalence of and risk factors for isolation of meticillin-resistant Staphylococcus spp. from dogs with pyoderma in northern California, USA</t>
  </si>
  <si>
    <t>Veterinary Dermatology</t>
  </si>
  <si>
    <t>e34</t>
  </si>
  <si>
    <t>10.1111/j.1365-3164.2012.01051.x</t>
  </si>
  <si>
    <t>https://www.scopus.com/inward/record.uri?eid=2-s2.0-84872694552&amp;doi=10.1111%2fj.1365-3164.2012.01051.x&amp;partnerID=40&amp;md5=fed07290b6473ab6c95341c24353924c</t>
  </si>
  <si>
    <t>2-s2.0-84872694552</t>
  </si>
  <si>
    <t>Adiguzel M.C.; Schaefer K.; Rodriguez T.; Ortiz J.; Sahin O.</t>
  </si>
  <si>
    <t>Adiguzel, Mehmet Cemal (57188633106); Schaefer, Kayla (57681959600); Rodriguez, Trevor (57681683600); Ortiz, Jessica (57681408500); Sahin, Orhan (7004540340)</t>
  </si>
  <si>
    <t>57188633106; 57681959600; 57681683600; 57681408500; 7004540340</t>
  </si>
  <si>
    <t>Prevalence, Mechanism, Genetic Diversity, and Cross-Resistance Patterns of Methicillin-Resistant Staphylococcus Isolated from Companion Animal Clinical Samples Submitted to a Veterinary Diagnostic Laboratory in the Midwestern United States</t>
  </si>
  <si>
    <t>Antibiotics</t>
  </si>
  <si>
    <t>10.3390/antibiotics11050609</t>
  </si>
  <si>
    <t>https://www.scopus.com/inward/record.uri?eid=2-s2.0-85129961799&amp;doi=10.3390%2fantibiotics11050609&amp;partnerID=40&amp;md5=1ef6726c3d577c176b2a20a10d0dedf7</t>
  </si>
  <si>
    <t>All Open Access; Gold Open Access; Green Open Access</t>
  </si>
  <si>
    <t>2-s2.0-85129961799</t>
  </si>
  <si>
    <t>Morris D.O.; Kennis R.A.</t>
  </si>
  <si>
    <t>Morris, Daniel O. (7403952339); Kennis, Robert A. (6602076779)</t>
  </si>
  <si>
    <t>7403952339; 6602076779</t>
  </si>
  <si>
    <t>Clinical Dermatology</t>
  </si>
  <si>
    <t>Veterinary Clinics of North America - Small Animal Practice</t>
  </si>
  <si>
    <t>ix</t>
  </si>
  <si>
    <t>x</t>
  </si>
  <si>
    <t>10.1016/j.cvsm.2012.09.013</t>
  </si>
  <si>
    <t>https://www.scopus.com/inward/record.uri?eid=2-s2.0-84870222610&amp;doi=10.1016%2fj.cvsm.2012.09.013&amp;partnerID=40&amp;md5=539f5092d3897ae5635a6a4077530f8c</t>
  </si>
  <si>
    <t>Editorial</t>
  </si>
  <si>
    <t>2-s2.0-84870222610</t>
  </si>
  <si>
    <t>Chaudhari S.S.; Chauhan H.C.; Sharma K.K.; Patel S.S.; Patel A.C.; Mohapatra S.K.; Srimali M.D.; Chandel B.</t>
  </si>
  <si>
    <t>Chaudhari, Sejalben S. (57792347800); Chauhan, Harshadkumar C. (7006361563); Sharma, Kishan K. (35607616500); Patel, Sandip S. (55466042300); Patel, Arun C. (57206689019); Mohapatra, Sushil K. (55443214500); Srimali, Mehulkumar D. (57792347900); Chandel, Bharatsingh (6603738012)</t>
  </si>
  <si>
    <t>57792347800; 7006361563; 35607616500; 55466042300; 57206689019; 55443214500; 57792347900; 6603738012</t>
  </si>
  <si>
    <t>Antibiotic Susceptibility Pattern of Canine Coagulase Positive and Coagulase Negative Staphylococcus spp. in a Hot and Dry Region of India</t>
  </si>
  <si>
    <t>Topics in Companion Animal Medicine</t>
  </si>
  <si>
    <t>10.1016/j.tcam.2022.100679</t>
  </si>
  <si>
    <t>https://www.scopus.com/inward/record.uri?eid=2-s2.0-85133752556&amp;doi=10.1016%2fj.tcam.2022.100679&amp;partnerID=40&amp;md5=e7744ae18ea07b426f66eecfe37710cb</t>
  </si>
  <si>
    <t>2-s2.0-85133752556</t>
  </si>
  <si>
    <t>Loeffler A.; Lloyd D.H.</t>
  </si>
  <si>
    <t>Loeffler, A. (56216331300); Lloyd, D.H. (7402321763)</t>
  </si>
  <si>
    <t>56216331300; 7402321763</t>
  </si>
  <si>
    <t>What has changed in canine pyoderma? A narrative review</t>
  </si>
  <si>
    <t>Veterinary Journal</t>
  </si>
  <si>
    <t>10.1016/j.tvjl.2018.04.002</t>
  </si>
  <si>
    <t>https://www.scopus.com/inward/record.uri?eid=2-s2.0-85045091115&amp;doi=10.1016%2fj.tvjl.2018.04.002&amp;partnerID=40&amp;md5=4fe6128ee9006af86c393ad97566b6d8</t>
  </si>
  <si>
    <t>Review</t>
  </si>
  <si>
    <t>All Open Access; Green Open Access</t>
  </si>
  <si>
    <t>2-s2.0-85045091115</t>
  </si>
  <si>
    <t>Cain C.L.; Cole S.D.; Bradley II C.W.; Canfield M.S.; Mauldin E.A.</t>
  </si>
  <si>
    <t>Cain, Christine L. (36781861500); Cole, Stephen D. (56844472300); Bradley II, Charles W. (55754064600); Canfield, Michael S. (35748596700); Mauldin, Elizabeth A. (6701839914)</t>
  </si>
  <si>
    <t>36781861500; 56844472300; 55754064600; 35748596700; 6701839914</t>
  </si>
  <si>
    <t>Clinical and histopathological features of Burkholderia cepacia complex dermatitis in dogs: a series of four cases</t>
  </si>
  <si>
    <t>e156</t>
  </si>
  <si>
    <t>10.1111/vde.12677</t>
  </si>
  <si>
    <t>https://www.scopus.com/inward/record.uri?eid=2-s2.0-85052620609&amp;doi=10.1111%2fvde.12677&amp;partnerID=40&amp;md5=be14bbe52162464c0cbe03e0337a0b4f</t>
  </si>
  <si>
    <t>2-s2.0-85052620609</t>
  </si>
  <si>
    <t>Greco I.; Emborg A.P.; Jana B.; Molchanova N.; Oddo A.; Damborg P.; Guardabassi L.; Hansen P.R.</t>
  </si>
  <si>
    <t>Greco, Ines (57199053603); Emborg, Agnete Plahn (57207489301); Jana, Bimal (14825053800); Molchanova, Natalia (57192982129); Oddo, Alberto (55345508200); Damborg, Peter (6504619253); Guardabassi, Luca (6603591962); Hansen, Paul R. (7403235863)</t>
  </si>
  <si>
    <t>57199053603; 57207489301; 14825053800; 57192982129; 55345508200; 6504619253; 6603591962; 7403235863</t>
  </si>
  <si>
    <t>Characterization, mechanism of action and optimization of activity of a novel peptide-peptoid hybrid against bacterial pathogens involved in canine skin infections</t>
  </si>
  <si>
    <t>Scientific Reports</t>
  </si>
  <si>
    <t>10.1038/s41598-019-39042-3</t>
  </si>
  <si>
    <t>https://www.scopus.com/inward/record.uri?eid=2-s2.0-85062587462&amp;doi=10.1038%2fs41598-019-39042-3&amp;partnerID=40&amp;md5=4c167c08b6916d15aa50e5cb0885f802</t>
  </si>
  <si>
    <t>2-s2.0-85062587462</t>
  </si>
  <si>
    <t>Ferrer L.; GarcÃ­a-Fonticoba R.; PÃ©rez D.; ViÃ±es J.; FÃ bregas N.; MadroÃ±ero S.; Meroni G.; Martino P.A.; MartÃ­nez S.; MatÃ© M.L.; SÃ¡nchez-Bruni S.; CuscÃ³ A.; Migura-GarcÃ­a L.; Francino O.</t>
  </si>
  <si>
    <t>Ferrer, LluÃ­s (7006112000); GarcÃ­a-Fonticoba, RocÃ­o (57343998800); PÃ©rez, Daniel (57223033235); ViÃ±es, Joaquim (57207301595); FÃ bregas, Norma (35725459100); MadroÃ±ero, Sergi (57223040203); Meroni, Gabriele (57209330744); Martino, Piera A. (36859964000); MartÃ­nez, SofÃ­a (57223040706); MatÃ©, M. Laura (24490584000); SÃ¡nchez-Bruni, Sergio (57932718900); CuscÃ³, Anna (57195771671); Migura-GarcÃ­a, Lourdes (6506149628); Francino, Olga (6602074559)</t>
  </si>
  <si>
    <t>7006112000; 57343998800; 57223033235; 57207301595; 35725459100; 57223040203; 57209330744; 36859964000; 57223040706; 24490584000; 57932718900; 57195771671; 6506149628; 6602074559</t>
  </si>
  <si>
    <t>Whole genome sequencing and de novo assembly of Staphylococcus pseudintermedius: a pangenome approach to unravelling pathogenesis of canine pyoderma</t>
  </si>
  <si>
    <t>10.1111/vde.13040</t>
  </si>
  <si>
    <t>https://www.scopus.com/inward/record.uri?eid=2-s2.0-85119271756&amp;doi=10.1111%2fvde.13040&amp;partnerID=40&amp;md5=3be1c70e7ac51e16b0b1c3c3f1cf4daf</t>
  </si>
  <si>
    <t>2-s2.0-85119271756</t>
  </si>
  <si>
    <t>Colombo S.</t>
  </si>
  <si>
    <t>Colombo, S. (7006495343)</t>
  </si>
  <si>
    <t>Shampoo-therapy in the dog and cat: Applications, methods and active ingredients; [La shampoo-terapia nel cane e nel gatto: Indicazioni, modalitÃ  di esecuzione e principi attivi]</t>
  </si>
  <si>
    <t>Veterinaria</t>
  </si>
  <si>
    <t>https://www.scopus.com/inward/record.uri?eid=2-s2.0-84908131756&amp;partnerID=40&amp;md5=06363f33b7319adaf1b1a799d841640b</t>
  </si>
  <si>
    <t>2-s2.0-84908131756</t>
  </si>
  <si>
    <t>Couto N.; Belas A.; Couto I.; Perreten V.; Pomba C.</t>
  </si>
  <si>
    <t>Couto, Natacha (36614104700); Belas, Adriana (55490307900); Couto, Isabel (55916738200); Perreten, Vincent (6603247859); Pomba, ConstanÃ§a (55971686400)</t>
  </si>
  <si>
    <t>36614104700; 55490307900; 55916738200; 6603247859; 55971686400</t>
  </si>
  <si>
    <t>Genetic relatedness, antimicrobial and biocide susceptibility comparative analysis of methicillin-resistant and -susceptible staphylococcus pseudintermedius from Portugal</t>
  </si>
  <si>
    <t>Microbial Drug Resistance</t>
  </si>
  <si>
    <t>10.1089/mdr.2013.0043</t>
  </si>
  <si>
    <t>https://www.scopus.com/inward/record.uri?eid=2-s2.0-84905169419&amp;doi=10.1089%2fmdr.2013.0043&amp;partnerID=40&amp;md5=8c53c233e00d1ca59b7b43fef4177185</t>
  </si>
  <si>
    <t>2-s2.0-84905169419</t>
  </si>
  <si>
    <t>Ventrella G.; Moodley A.; Grandolfo E.; Parisi A.; Corrente M.; Buonavoglia D.; Guardabassi L.</t>
  </si>
  <si>
    <t>Ventrella, G. (55572211800); Moodley, A. (26967943000); Grandolfo, E. (55544771600); Parisi, A. (56423886400); Corrente, M. (55021372100); Buonavoglia, D. (7004335810); Guardabassi, L. (6603591962)</t>
  </si>
  <si>
    <t>55572211800; 26967943000; 55544771600; 56423886400; 55021372100; 7004335810; 6603591962</t>
  </si>
  <si>
    <t>Frequency, antimicrobial susceptibility and clonal distribution of methicillin-resistant Staphylococcus pseudintermedius in canine clinical samples submitted to a veterinary diagnostic laboratory in Italy: A 3-year retrospective investigation</t>
  </si>
  <si>
    <t>Veterinary Microbiology</t>
  </si>
  <si>
    <t>10.1016/j.vetmic.2017.09.015</t>
  </si>
  <si>
    <t>https://www.scopus.com/inward/record.uri?eid=2-s2.0-85042681355&amp;doi=10.1016%2fj.vetmic.2017.09.015&amp;partnerID=40&amp;md5=44d9b762c8d798ba79f9407abfd240d4</t>
  </si>
  <si>
    <t>2-s2.0-85042681355</t>
  </si>
  <si>
    <t>Nocera F.P.; Ambrosio M.; Fiorito F.; Cortese L.; De Martino L.</t>
  </si>
  <si>
    <t>Nocera, Francesca Paola (56496591000); Ambrosio, Monica (57222557667); Fiorito, Filomena (24830353100); Cortese, Laura (7003446009); De Martino, Luisa (6701449014)</t>
  </si>
  <si>
    <t>56496591000; 57222557667; 24830353100; 7003446009; 6701449014</t>
  </si>
  <si>
    <t>On gram-positive-and gram-negative-bacteria-associated canine and feline skin infections: A 4-year retrospective study of the university veterinary microbiology diagnostic laboratory of Naples, Italy</t>
  </si>
  <si>
    <t>Animals</t>
  </si>
  <si>
    <t>10.3390/ani11061603</t>
  </si>
  <si>
    <t>https://www.scopus.com/inward/record.uri?eid=2-s2.0-85106706926&amp;doi=10.3390%2fani11061603&amp;partnerID=40&amp;md5=524b8fbaaa997a250bb056d30e83e82d</t>
  </si>
  <si>
    <t>2-s2.0-85106706926</t>
  </si>
  <si>
    <t>van Damme C.M.M.; Broens E.M.; Auxilia S.T.; Schlotter Y.M.</t>
  </si>
  <si>
    <t>van Damme, Catharina M.M. (35079504300); Broens, Els M. (26535595500); Auxilia, Silvia T. (6507217425); Schlotter, Yvette M. (24179369100)</t>
  </si>
  <si>
    <t>35079504300; 26535595500; 6507217425; 24179369100</t>
  </si>
  <si>
    <t>Clindamycin resistance of skin derived Staphylococcus pseudintermedius is higher in dogs with a history of antimicrobial therapy</t>
  </si>
  <si>
    <t>e75</t>
  </si>
  <si>
    <t>10.1111/vde.12854</t>
  </si>
  <si>
    <t>https://www.scopus.com/inward/record.uri?eid=2-s2.0-85083767108&amp;doi=10.1111%2fvde.12854&amp;partnerID=40&amp;md5=5e3a3ae0a1e9adc9755f3fd0407ec8c4</t>
  </si>
  <si>
    <t>All Open Access; Hybrid Gold Open Access</t>
  </si>
  <si>
    <t>2-s2.0-85083767108</t>
  </si>
  <si>
    <t>Bloom P.</t>
  </si>
  <si>
    <t>Bloom, Paul (11639062100)</t>
  </si>
  <si>
    <t>Canine superficial bacterial folliculitis: Current understanding of its etiology, diagnosis and treatment</t>
  </si>
  <si>
    <t>10.1016/j.tvjl.2013.11.014</t>
  </si>
  <si>
    <t>https://www.scopus.com/inward/record.uri?eid=2-s2.0-84895905398&amp;doi=10.1016%2fj.tvjl.2013.11.014&amp;partnerID=40&amp;md5=0f6393859bfa4f2ebb7c4c6509ca1d29</t>
  </si>
  <si>
    <t>2-s2.0-84895905398</t>
  </si>
  <si>
    <t>GonzÃ¡lez-DomÃ­nguez M.S.; Carvajal H.D.; Calle-Echeverri D.A.; Chinchilla-CÃ¡rdenas D.</t>
  </si>
  <si>
    <t>GonzÃ¡lez-DomÃ­nguez, MarÃ­a S. (35190298400); Carvajal, HernÃ¡n D. (57218449177); Calle-Echeverri, David A. (57218453329); Chinchilla-CÃ¡rdenas, Danny (57218449031)</t>
  </si>
  <si>
    <t>35190298400; 57218449177; 57218453329; 57218449031</t>
  </si>
  <si>
    <t>Molecular Detection and Characterization of the mecA and nuc Genes From Staphylococcus Species (S. aureus, S. pseudintermedius, and S. schleiferi) Isolated From Dogs Suffering Superficial Pyoderma and Their Antimicrobial Resistance Profiles</t>
  </si>
  <si>
    <t>Frontiers in Veterinary Science</t>
  </si>
  <si>
    <t>10.3389/fvets.2020.00376</t>
  </si>
  <si>
    <t>https://www.scopus.com/inward/record.uri?eid=2-s2.0-85089221220&amp;doi=10.3389%2ffvets.2020.00376&amp;partnerID=40&amp;md5=5c6178916ca716fc7198e91bcfc5474a</t>
  </si>
  <si>
    <t>2-s2.0-85089221220</t>
  </si>
  <si>
    <t>Larsen R.; Boysen L.; Berg J.; Guardabassi L.; Damborg P.</t>
  </si>
  <si>
    <t>Larsen, Rikke (56596135100); Boysen, Lene (6507919771); Berg, June (56596120900); Guardabassi, Luca (6603591962); Damborg, Peter (6504619253)</t>
  </si>
  <si>
    <t>56596135100; 6507919771; 56596120900; 6603591962; 6504619253</t>
  </si>
  <si>
    <t>Lincosamide resistance is less frequent in Denmark in Staphylococcus pseudintermedius from first-time canine superficial pyoderma compared with skin isolates from clinical samples with unknown clinical background</t>
  </si>
  <si>
    <t>e44</t>
  </si>
  <si>
    <t>10.1111/vde.12209</t>
  </si>
  <si>
    <t>https://www.scopus.com/inward/record.uri?eid=2-s2.0-84929293668&amp;doi=10.1111%2fvde.12209&amp;partnerID=40&amp;md5=714f5c0529ee61a3acec8a266c33ae4e</t>
  </si>
  <si>
    <t>2-s2.0-84929293668</t>
  </si>
  <si>
    <t>Azzariti S.; Mead A.; Toutain P.-L.; Bond R.; Pelligand L.</t>
  </si>
  <si>
    <t>Azzariti, Stefano (57275497100); Mead, Andrew (56921622300); Toutain, Pierre-Louis (7101675867); Bond, Ross (55209501000); Pelligand, Ludovic (16234179600)</t>
  </si>
  <si>
    <t>57275497100; 56921622300; 7101675867; 55209501000; 16234179600</t>
  </si>
  <si>
    <t>Time-Kill Analysis of Canine Skin Pathogens: A Comparison of Pradofloxacin and Marbofloxacin</t>
  </si>
  <si>
    <t>10.3390/antibiotics12101548</t>
  </si>
  <si>
    <t>https://www.scopus.com/inward/record.uri?eid=2-s2.0-85175258145&amp;doi=10.3390%2fantibiotics12101548&amp;partnerID=40&amp;md5=d1f66cee0f57d70b54a650f2e4baa6c4</t>
  </si>
  <si>
    <t>2-s2.0-85175258145</t>
  </si>
  <si>
    <t>Viegas F.M.; Santana J.A.; Silva B.A.; Xavier R.G.C.; Bonisson C.T.; CÃ¢mara J.L.S.; RennÃ³ M.C.; Cunha J.L.R.; Figueiredo H.C.P.; Lobato F.C.F.; Silva R.O.S.</t>
  </si>
  <si>
    <t>Viegas, FlÃ¡via Mello (57209464156); Santana, Jordana Almeida (55794911300); Silva, Brendhal Almeida (57221648463); Xavier, Rafael Gariglio Clark (57198780374); Bonisson, ClÃ¡udia Teixeira (57734885800); CÃ¢mara, JÃºlia Lara Sette (57734941100); RennÃ³, MÃ¡rio Cesar (57226439424); Cunha, JoÃ£o Luis Reis (35362792200); Figueiredo, Henrique CÃ©sar Pereira (12240398600); Lobato, Francisco Carlos Faria (55882158900); Silva, Rodrigo OtÃ¡vio Silveira (24381958800)</t>
  </si>
  <si>
    <t>57209464156; 55794911300; 57221648463; 57198780374; 57734885800; 57734941100; 57226439424; 35362792200; 12240398600; 55882158900; 24381958800</t>
  </si>
  <si>
    <t>Occurrence and characterization of methicillin-resistant Staphylococcus spp. in diseased dogs in Brazil</t>
  </si>
  <si>
    <t>PLoS ONE</t>
  </si>
  <si>
    <t>e0269422</t>
  </si>
  <si>
    <t>10.1371/journal.pone.0269422</t>
  </si>
  <si>
    <t>https://www.scopus.com/inward/record.uri?eid=2-s2.0-85131701731&amp;doi=10.1371%2fjournal.pone.0269422&amp;partnerID=40&amp;md5=5b65333972d86c4a63fa8a87d64ad0de</t>
  </si>
  <si>
    <t>All Open Access; Gold Open Access</t>
  </si>
  <si>
    <t>2-s2.0-85131701731</t>
  </si>
  <si>
    <t>Lim Y.-J.; Hyun J.-E.; Hwang C.-Y.</t>
  </si>
  <si>
    <t>Lim, Yun-Ji (57215573202); Hyun, Jae-Eun (57200329394); Hwang, Cheol-Yong (57208790874)</t>
  </si>
  <si>
    <t>57215573202; 57200329394; 57208790874</t>
  </si>
  <si>
    <t>Identification of fusidic acid resistance in clinical isolates of Staphylococcus pseudintermedius from dogs in Korea</t>
  </si>
  <si>
    <t>e62</t>
  </si>
  <si>
    <t>10.1111/vde.12844</t>
  </si>
  <si>
    <t>https://www.scopus.com/inward/record.uri?eid=2-s2.0-85081274662&amp;doi=10.1111%2fvde.12844&amp;partnerID=40&amp;md5=fc556175d571af2e2d86615c8ad7549c</t>
  </si>
  <si>
    <t>2-s2.0-85081274662</t>
  </si>
  <si>
    <t>Nocera F.P.; Parisi A.; Corrente M.; De Martino L.</t>
  </si>
  <si>
    <t>Nocera, F.P. (56496591000); Parisi, A. (56423886400); Corrente, M. (55021372100); De Martino, L. (6701449014)</t>
  </si>
  <si>
    <t>56496591000; 56423886400; 55021372100; 6701449014</t>
  </si>
  <si>
    <t>Evidence of new sequence types of methicillin-resistant Staphylococcus pseudintermedius in Italy</t>
  </si>
  <si>
    <t>Polish Journal of Veterinary Sciences</t>
  </si>
  <si>
    <t>10.24425/pjvs.2020.134693</t>
  </si>
  <si>
    <t>https://www.scopus.com/inward/record.uri?eid=2-s2.0-85092677357&amp;doi=10.24425%2fpjvs.2020.134693&amp;partnerID=40&amp;md5=69314d02321f14e955993f4a12a16ed6</t>
  </si>
  <si>
    <t>All Open Access; Bronze Open Access</t>
  </si>
  <si>
    <t>2-s2.0-85092677357</t>
  </si>
  <si>
    <t>Cavana P.; Robino P.; Stella M.C.; Bellato A.; Crosaz O.; Fiora S.R.; Nebbia P.</t>
  </si>
  <si>
    <t>Cavana, Paola (15761872900); Robino, Patrizia (6507311194); Stella, Maria Cristina (57197016399); Bellato, Alessandro (57216629438); Crosaz, Odile (36628025600); Fiora, Sara Rebecca (57924189500); Nebbia, Patrizia (6507739739)</t>
  </si>
  <si>
    <t>15761872900; 6507311194; 57197016399; 57216629438; 36628025600; 57924189500; 6507739739</t>
  </si>
  <si>
    <t>Staphylococci isolated from cats in Italy with superficial pyoderma and allergic dermatitis: Characterisation of isolates and their resistance to antimicrobials</t>
  </si>
  <si>
    <t>10.1111/vde.13127</t>
  </si>
  <si>
    <t>https://www.scopus.com/inward/record.uri?eid=2-s2.0-85139689452&amp;doi=10.1111%2fvde.13127&amp;partnerID=40&amp;md5=d14546dbc70c46f122829ae43457bdc5</t>
  </si>
  <si>
    <t>2-s2.0-85139689452</t>
  </si>
  <si>
    <t>Leite-Martins L.; Meireles D.; Bessa L.J.; Mendes A.; De Matos A.J.; Martins Da Costa P.</t>
  </si>
  <si>
    <t>Leite-Martins, Liliana (56372171200); Meireles, Diana (59268610400); Bessa, Lucinda J. (37092470400); Mendes, Ãngelo (56372252300); De Matos, Augusto J. (55971705000); Martins Da Costa, Paulo (56372529300)</t>
  </si>
  <si>
    <t>56372171200; 59268610400; 37092470400; 56372252300; 55971705000; 56372529300</t>
  </si>
  <si>
    <t>Spread of multidrug-resistant Enterococcus faecalis within the household setting</t>
  </si>
  <si>
    <t>10.1089/mdr.2013.0217</t>
  </si>
  <si>
    <t>https://www.scopus.com/inward/record.uri?eid=2-s2.0-84907458333&amp;doi=10.1089%2fmdr.2013.0217&amp;partnerID=40&amp;md5=1d131cadf250d118e6923fea7a973786</t>
  </si>
  <si>
    <t>2-s2.0-84907458333</t>
  </si>
  <si>
    <t>Beco L.; GuaguÃ¨re E.; Lorente MÃ©ndez C.; Noli C.; Nuttall T.; Vroom M.</t>
  </si>
  <si>
    <t>Beco, L. (6603060935); GuaguÃ¨re, E. (7004138101); Lorente MÃ©ndez, C. (35317946200); Noli, C. (56012757300); Nuttall, T. (7004090408); Vroom, M. (7003641262)</t>
  </si>
  <si>
    <t>6603060935; 7004138101; 35317946200; 56012757300; 7004090408; 7003641262</t>
  </si>
  <si>
    <t>Guidelines for using systemic antimicrobials in bacterial skin infections: Part two - Antimicrobial choice, treatment regimens and compliance; [Linee guida suggerite per l'utilizzo degli antibiotici nelle infezioni cutanee batteriche: Seconda parte - Scelta dell'antibiotico, trattamento e compliance]</t>
  </si>
  <si>
    <t>https://www.scopus.com/inward/record.uri?eid=2-s2.0-84879336810&amp;partnerID=40&amp;md5=4884b2bbe37323e911dfd757e630855f</t>
  </si>
  <si>
    <t>2-s2.0-84879336810</t>
  </si>
  <si>
    <t>Jin H.-J.; Hwang C.-Y.; Kang J.-H.; Baek S.-J.; Hyun J.-E.</t>
  </si>
  <si>
    <t>Jin, Hee-Jung (57226651892); Hwang, Cheol-Yong (57208790874); Kang, Jung-Hun (57195590686); Baek, Seung-Joon (57716518300); Hyun, Jae-Eun (57200329394)</t>
  </si>
  <si>
    <t>57226651892; 57208790874; 57195590686; 57716518300; 57200329394</t>
  </si>
  <si>
    <t>In vitro antimicrobial activity of cold atmospheric microwave plasma against bacteria causing canine skin and ear infections</t>
  </si>
  <si>
    <t>e126</t>
  </si>
  <si>
    <t>10.1111/vde.13012</t>
  </si>
  <si>
    <t>https://www.scopus.com/inward/record.uri?eid=2-s2.0-85112231835&amp;doi=10.1111%2fvde.13012&amp;partnerID=40&amp;md5=03eb3e0796aee18b076195e6dbb2e719</t>
  </si>
  <si>
    <t>2-s2.0-85112231835</t>
  </si>
  <si>
    <t>Miller J.; Simpson A.; Bloom P.; Diesel A.; Friedeck A.; Paterson T.; Wisecup M.; Yu C.-M.</t>
  </si>
  <si>
    <t>Miller, Julia (58671705800); Simpson, Andrew (57196898021); Bloom, Paul (11639062100); Diesel, Alison (35995236700); Friedeck, Amanda (55229421100); Paterson, Tara (23098167000); Wisecup, Michelle (58671776500); Yu, Chih-Ming (58671812000)</t>
  </si>
  <si>
    <t>58671705800; 57196898021; 11639062100; 35995236700; 55229421100; 23098167000; 58671776500; 58671812000</t>
  </si>
  <si>
    <t>2023 AAHA Management of Allergic Skin Diseases in Dogs and Cats Guidelines</t>
  </si>
  <si>
    <t>Journal of the American Animal Hospital Association</t>
  </si>
  <si>
    <t>10.5326/JAAHA-MS-7396</t>
  </si>
  <si>
    <t>https://www.scopus.com/inward/record.uri?eid=2-s2.0-85175280600&amp;doi=10.5326%2fJAAHA-MS-7396&amp;partnerID=40&amp;md5=4979c40ee1ee45df3869d3d5937d3d33</t>
  </si>
  <si>
    <t>2-s2.0-85175280600</t>
  </si>
  <si>
    <t>Chanayat Y.; Akatvipat A.; Bender J.B.; Punyapornwithaya V.; Meeyam T.; Anukool U.; Pichpol D.</t>
  </si>
  <si>
    <t>Chanayat, Yuttana (57224103295); Akatvipat, Areerath (57218873654); Bender, Jeff B. (7201542416); Punyapornwithaya, Veerasak (34973240100); Meeyam, Tongkorn (6505691478); Anukool, Usanee (6508282227); Pichpol, Duangporn (13807564600)</t>
  </si>
  <si>
    <t>57224103295; 57218873654; 7201542416; 34973240100; 6505691478; 6508282227; 13807564600</t>
  </si>
  <si>
    <t>The sccmec types and antimicrobial resistance among methicillin-resistant staphylococcus species isolated from dogs with superficial pyoderma</t>
  </si>
  <si>
    <t>Veterinary Sciences</t>
  </si>
  <si>
    <t>10.3390/vetsci8050085</t>
  </si>
  <si>
    <t>https://www.scopus.com/inward/record.uri?eid=2-s2.0-85106978074&amp;doi=10.3390%2fvetsci8050085&amp;partnerID=40&amp;md5=cee00a70bdc9efa206dc8cac16419d8a</t>
  </si>
  <si>
    <t>2-s2.0-85106978074</t>
  </si>
  <si>
    <t>Lai C.-H.; Ma Y.-C.; Shia W.-Y.; Hsieh Y.-L.; Wang C.-M.</t>
  </si>
  <si>
    <t>Lai, Cheng-Hung (7403086201); Ma, Yu-Chan (57764953800); Shia, Wei-Yau (37067874400); Hsieh, Yu-Ling (57766469900); Wang, Chao-Min (53464431000)</t>
  </si>
  <si>
    <t>7403086201; 57764953800; 37067874400; 57766469900; 53464431000</t>
  </si>
  <si>
    <t>Risk Factors for Antimicrobial Resistance of Staphylococcus Species Isolated from Dogs with Superficial Pyoderma and Their Owners</t>
  </si>
  <si>
    <t>10.3390/vetsci9070306</t>
  </si>
  <si>
    <t>https://www.scopus.com/inward/record.uri?eid=2-s2.0-85132930914&amp;doi=10.3390%2fvetsci9070306&amp;partnerID=40&amp;md5=64e245a544b04ecf4b31c30d1db9f5e0</t>
  </si>
  <si>
    <t>2-s2.0-85132930914</t>
  </si>
  <si>
    <t>Suggested guidelines for using systemic antimicrobials in bacterial skin infections: Part I - Diagnosis based on clinical presentation, cytology and culture; [Linee guida suggerite per l'utilizzo degli antibiotici sistemici nelle infezioni batteriche della cute: Prima parte - Diagnosi basata su presentazione clinica, citologia e coltura]</t>
  </si>
  <si>
    <t>https://www.scopus.com/inward/record.uri?eid=2-s2.0-84879406104&amp;partnerID=40&amp;md5=8902f4e6cea961e6dedb05fbfd5e9595</t>
  </si>
  <si>
    <t>2-s2.0-84879406104</t>
  </si>
  <si>
    <t>Cain C.L.</t>
  </si>
  <si>
    <t>Cain, Christine L. (36781861500)</t>
  </si>
  <si>
    <t>Antimicrobial Resistance in Staphylococci in Small Animals</t>
  </si>
  <si>
    <t>10.1016/j.cvsm.2012.09.003</t>
  </si>
  <si>
    <t>https://www.scopus.com/inward/record.uri?eid=2-s2.0-84870199805&amp;doi=10.1016%2fj.cvsm.2012.09.003&amp;partnerID=40&amp;md5=49fd7e24e02121d662d929d8aa60484a</t>
  </si>
  <si>
    <t>2-s2.0-84870199805</t>
  </si>
  <si>
    <t>Banovic F.; Koch S.; Robson D.; Jacob M.; Olivry T.</t>
  </si>
  <si>
    <t>Banovic, Frane (37118497700); Koch, Sandra (7202386395); Robson, David (8544283100); Jacob, Megan (57201840002); Olivry, Thierry (7006667701)</t>
  </si>
  <si>
    <t>37118497700; 7202386395; 8544283100; 57201840002; 7006667701</t>
  </si>
  <si>
    <t>Deep pyoderma caused by Burkholderia cepacia complex associated with ciclosporin administration in dogs: A case series</t>
  </si>
  <si>
    <t>292ande64</t>
  </si>
  <si>
    <t>10.1111/vde.12210</t>
  </si>
  <si>
    <t>https://www.scopus.com/inward/record.uri?eid=2-s2.0-84955721179&amp;doi=10.1111%2fvde.12210&amp;partnerID=40&amp;md5=640b32f1779688ec411d43f149034cf9</t>
  </si>
  <si>
    <t>2-s2.0-84955721179</t>
  </si>
  <si>
    <t>Schaefer L.; KloÎ² E.; Henrich M.; Thom N.</t>
  </si>
  <si>
    <t>Schaefer, Laura (58577662900); KloÎ², Elena (58706366400); Henrich, Manfred (24821486600); Thom, Nina (35977275800)</t>
  </si>
  <si>
    <t>58577662900; 58706366400; 24821486600; 35977275800</t>
  </si>
  <si>
    <t>Extensive fatal Pyoderma gangrenosum in a dog after drug exposure</t>
  </si>
  <si>
    <t>Tierarztliche Praxis Ausgabe K: Kleintiere - Heimtiere</t>
  </si>
  <si>
    <t>10.1055/a-2174-6948</t>
  </si>
  <si>
    <t>https://www.scopus.com/inward/record.uri?eid=2-s2.0-85176901558&amp;doi=10.1055%2fa-2174-6948&amp;partnerID=40&amp;md5=615370f7d92c384012b524af9261ac53</t>
  </si>
  <si>
    <t>2-s2.0-85176901558</t>
  </si>
  <si>
    <t>Hattab J.; Mosca F.; Di Francesco C.E.; Aste G.; Marruchella G.; Guardiani P.; Giorgio Tiscar P.</t>
  </si>
  <si>
    <t>Hattab, Jasmine (57218339671); Mosca, Francesco (7102054462); Di Francesco, Cristina Esmeralda (8613765300); Aste, Giovanni (6506642125); Marruchella, Giuseppe (8638634100); Guardiani, Pierluigi (24075687500); Giorgio Tiscar, Pietro (6508312567)</t>
  </si>
  <si>
    <t>57218339671; 7102054462; 8613765300; 6506642125; 8638634100; 24075687500; 6508312567</t>
  </si>
  <si>
    <t>Occurrence, antimicrobial susceptibility, and pathogenic factors of Pseudomonas aeruginosa in canine clinical samples</t>
  </si>
  <si>
    <t>Veterinary World</t>
  </si>
  <si>
    <t>10.14202/vetworld.2021.978-985</t>
  </si>
  <si>
    <t>https://www.scopus.com/inward/record.uri?eid=2-s2.0-85105348790&amp;doi=10.14202%2fvetworld.2021.978-985&amp;partnerID=40&amp;md5=bfa6e568eaf744e95fcf0852a3b1c753</t>
  </si>
  <si>
    <t>2-s2.0-85105348790</t>
  </si>
  <si>
    <t>Carfora V.; Scarampella F.; Iurescia M.; Donati V.; Stravino F.; Lorenzetti S.; Menichini E.; Franco A.; Caprioli A.; Battisti A.</t>
  </si>
  <si>
    <t>Carfora, Virginia (55931863800); Scarampella, Fabia (6507123963); Iurescia, Manuela (26032148500); Donati, Valentina (56629376400); Stravino, Fiorentino (57192670287); Lorenzetti, Serena (16181015100); Menichini, Erika (57201183757); Franco, Alessia (7202368460); Caprioli, Andrea (8629500400); Battisti, Antonio (58066998700)</t>
  </si>
  <si>
    <t>55931863800; 6507123963; 26032148500; 56629376400; 57192670287; 16181015100; 57201183757; 7202368460; 8629500400; 58066998700</t>
  </si>
  <si>
    <t>Non-toxigenic Corynebacterium ulcerans sequence types 325 and 339 isolated from two dogs with ulcerative lesions in Italy</t>
  </si>
  <si>
    <t>Journal of Veterinary Diagnostic Investigation</t>
  </si>
  <si>
    <t>10.1177/1040638718764786</t>
  </si>
  <si>
    <t>https://www.scopus.com/inward/record.uri?eid=2-s2.0-85043685917&amp;doi=10.1177%2f1040638718764786&amp;partnerID=40&amp;md5=4407b3dbe8456360331a5ebacd2c3426</t>
  </si>
  <si>
    <t>All Open Access; Bronze Open Access; Green Open Access</t>
  </si>
  <si>
    <t>2-s2.0-85043685917</t>
  </si>
  <si>
    <t>Prior C.D.; Moodley A.; Karama M.; Malahlela M.N.; Leisewitz A.</t>
  </si>
  <si>
    <t>Prior, C.D. (57223008610); Moodley, A. (26967943000); Karama, M. (24491868000); Malahlela, M.N. (55389586600); Leisewitz, A. (6701514975)</t>
  </si>
  <si>
    <t>57223008610; 26967943000; 24491868000; 55389586600; 6701514975</t>
  </si>
  <si>
    <t>Prevalence of methicillin resistance in Staphylococcus pseudintermedius isolates from dogs with skin and ear infections in South Africa</t>
  </si>
  <si>
    <t>Journal of the South African Veterinary Association</t>
  </si>
  <si>
    <t>10.36303/JSAVA.2022.93.1.505</t>
  </si>
  <si>
    <t>https://www.scopus.com/inward/record.uri?eid=2-s2.0-85131454917&amp;doi=10.36303%2fJSAVA.2022.93.1.505&amp;partnerID=40&amp;md5=4f81c92c93ced304a270fe925dfab693</t>
  </si>
  <si>
    <t>2-s2.0-85131454917</t>
  </si>
  <si>
    <t>Bean D.C.; Wigmore S.M.</t>
  </si>
  <si>
    <t>Bean, D.C. (12142629200); Wigmore, S.M. (56647821700)</t>
  </si>
  <si>
    <t>12142629200; 56647821700</t>
  </si>
  <si>
    <t>Carriage rate and antibiotic susceptibility of coagulase-positive staphylococci isolated from healthy dogs in Victoria, Australia</t>
  </si>
  <si>
    <t>Australian Veterinary Journal</t>
  </si>
  <si>
    <t>10.1111/avj.12528</t>
  </si>
  <si>
    <t>https://www.scopus.com/inward/record.uri?eid=2-s2.0-84996931171&amp;doi=10.1111%2favj.12528&amp;partnerID=40&amp;md5=6af20262dddbabad9956ae3a5364ff01</t>
  </si>
  <si>
    <t>2-s2.0-84996931171</t>
  </si>
  <si>
    <t>Clark S.M.; Loeffler A.; Bond R.</t>
  </si>
  <si>
    <t>Clark, S.M. (56719005300); Loeffler, A. (56216331300); Bond, R. (55209501000)</t>
  </si>
  <si>
    <t>56719005300; 56216331300; 55209501000</t>
  </si>
  <si>
    <t>Susceptibility in vitro of canine methicillin-resistant and-susceptible staphylococcal isolates to fusidic acid, chlorhexidine and miconazole: Opportunities for topical therapy of canine superficial pyoderma</t>
  </si>
  <si>
    <t>Journal of Antimicrobial Chemotherapy</t>
  </si>
  <si>
    <t>dkv056</t>
  </si>
  <si>
    <t>10.1093/jac/dkv056</t>
  </si>
  <si>
    <t>https://www.scopus.com/inward/record.uri?eid=2-s2.0-84936947147&amp;doi=10.1093%2fjac%2fdkv056&amp;partnerID=40&amp;md5=6bf9ff8945ee2d72b9961e5fae19c2e0</t>
  </si>
  <si>
    <t>2-s2.0-84936947147</t>
  </si>
  <si>
    <t>Naziri Z.; Majlesi M.</t>
  </si>
  <si>
    <t>Naziri, Zahra (55561713800); Majlesi, Maryam (57951913300)</t>
  </si>
  <si>
    <t>55561713800; 57951913300</t>
  </si>
  <si>
    <t>Comparison of the prevalence, antibiotic resistance patterns, and biofilm formation ability of methicillin-resistant Staphylococcus pseudintermedius in healthy dogs and dogs with skin infections</t>
  </si>
  <si>
    <t>Veterinary Research Communications</t>
  </si>
  <si>
    <t>10.1007/s11259-022-10032-7</t>
  </si>
  <si>
    <t>https://www.scopus.com/inward/record.uri?eid=2-s2.0-85141146548&amp;doi=10.1007%2fs11259-022-10032-7&amp;partnerID=40&amp;md5=cdde964de07a950760d18b04b99495d5</t>
  </si>
  <si>
    <t>2-s2.0-85141146548</t>
  </si>
  <si>
    <t>FÃ bregas N.; PÃ©rez D.; ViÃ±es J.; CuscÃ³ A.; Migura-GarcÃ­a L.; Ferrer L.; Francino O.</t>
  </si>
  <si>
    <t>FÃ bregas, Norma (35725459100); PÃ©rez, Daniel (57223033235); ViÃ±es, Joaquim (57207301595); CuscÃ³, Anna (57195771671); Migura-GarcÃ­a, Lourdes (6506149628); Ferrer, LluÃ­s (7006112000); Francino, Olga (6602074559)</t>
  </si>
  <si>
    <t>35725459100; 57223033235; 57207301595; 57195771671; 6506149628; 7006112000; 6602074559</t>
  </si>
  <si>
    <t>Diverse Populations of Staphylococcus pseudintermedius Colonize the Skin of Healthy Dogs</t>
  </si>
  <si>
    <t>Microbiology Spectrum</t>
  </si>
  <si>
    <t>10.1128/spectrum.03393-22</t>
  </si>
  <si>
    <t>https://www.scopus.com/inward/record.uri?eid=2-s2.0-85157960977&amp;doi=10.1128%2fspectrum.03393-22&amp;partnerID=40&amp;md5=7aad90deff68161058300a800ad2c121</t>
  </si>
  <si>
    <t>2-s2.0-85157960977</t>
  </si>
  <si>
    <t>Fadok V.A.; Irwin K.</t>
  </si>
  <si>
    <t>Fadok, Valerie A. (57207503498); Irwin, Katherine (55257890900)</t>
  </si>
  <si>
    <t>57207503498; 55257890900</t>
  </si>
  <si>
    <t>Sodium Hypochlorite/Salicylic Acid Shampoo for Treatment of Canine Staphylococcal Pyoderma</t>
  </si>
  <si>
    <t>10.5326/JAAHA-MS-6628</t>
  </si>
  <si>
    <t>https://www.scopus.com/inward/record.uri?eid=2-s2.0-85064980525&amp;doi=10.5326%2fJAAHA-MS-6628&amp;partnerID=40&amp;md5=592f03f72d74f13991aff16330aefd9f</t>
  </si>
  <si>
    <t>2-s2.0-85064980525</t>
  </si>
  <si>
    <t>DÃ©gi J.; MoÈco O.-A.; DÃ©gi D.M.; Suici T.; MareÈ M.; Imre K.; Cristina R.T.</t>
  </si>
  <si>
    <t>DÃ©gi, JÃ¡nos (55798155300); MoÈco, Oana-Alexandra (57226313176); DÃ©gi, Diana Maria (57215652297); Suici, Tiana (57208211758); MareÈ, Mihai (8117083900); Imre, Kalman (6603816090); Cristina, Romeo Teodor (56015626400)</t>
  </si>
  <si>
    <t>55798155300; 57226313176; 57215652297; 57208211758; 8117083900; 6603816090; 56015626400</t>
  </si>
  <si>
    <t>Antibiotic susceptibility profile of pseudomonas aeruginosa canine isolates from a multicentric study in romania</t>
  </si>
  <si>
    <t>10.3390/antibiotics10070846</t>
  </si>
  <si>
    <t>https://www.scopus.com/inward/record.uri?eid=2-s2.0-85111079816&amp;doi=10.3390%2fantibiotics10070846&amp;partnerID=40&amp;md5=bd58aedb6413be96e2a7d3a0029f7b65</t>
  </si>
  <si>
    <t>2-s2.0-85111079816</t>
  </si>
  <si>
    <t>Harbour L.; Schick A.; Mount R.; White A.</t>
  </si>
  <si>
    <t>Harbour, Lydia (57836242700); Schick, Anthea (16033517500); Mount, Rebecca (57188643885); White, Amelia (55798281000)</t>
  </si>
  <si>
    <t>57836242700; 16033517500; 57188643885; 55798281000</t>
  </si>
  <si>
    <t>Rifampicin treatment of canine multidrug-resistant meticillin-resistant staphylococcal pyoderma: AÂ retrospective study of 51 cases</t>
  </si>
  <si>
    <t>10.1111/vde.13105</t>
  </si>
  <si>
    <t>https://www.scopus.com/inward/record.uri?eid=2-s2.0-85135617858&amp;doi=10.1111%2fvde.13105&amp;partnerID=40&amp;md5=6d5a3b14687667a3e535aa32d6a95d1e</t>
  </si>
  <si>
    <t>2-s2.0-85135617858</t>
  </si>
  <si>
    <t>Kim E.-J.; Hyun J.-E.; Kang Y.-H.; Baek S.-J.; Hwang C.-Y.</t>
  </si>
  <si>
    <t>Kim, Eun-Joo (57325113700); Hyun, Jae-Eun (57200329394); Kang, Yeong-Hun (57223196411); Baek, Seung-Joon (57716518300); Hwang, Cheol-Yong (57208790874)</t>
  </si>
  <si>
    <t>57325113700; 57200329394; 57223196411; 57716518300; 57208790874</t>
  </si>
  <si>
    <t>In vitro antibacterial and antibiofilm effects of cold atmospheric microwave plasma against Pseudomonas aeruginosa causing canine skin and ear infections</t>
  </si>
  <si>
    <t>e10</t>
  </si>
  <si>
    <t>10.1111/vde.13030</t>
  </si>
  <si>
    <t>https://www.scopus.com/inward/record.uri?eid=2-s2.0-85118544093&amp;doi=10.1111%2fvde.13030&amp;partnerID=40&amp;md5=252b288e8cd51c3c0b36d76d35deb913</t>
  </si>
  <si>
    <t>2-s2.0-85118544093</t>
  </si>
  <si>
    <t>Park J.-H.; Kang J.-H.; Hyun J.-E.; Hwang C.-Y.</t>
  </si>
  <si>
    <t>Park, Ji-Hyung (57200327711); Kang, Jung-Hun (57195590686); Hyun, Jae-Eun (57200329394); Hwang, Cheol-Yong (57208790874)</t>
  </si>
  <si>
    <t>57200327711; 57195590686; 57200329394; 57208790874</t>
  </si>
  <si>
    <t>Low prevalence of mupirocin resistance in Staphylococcus pseudintermedius isolates from canine pyoderma in Korea</t>
  </si>
  <si>
    <t>e37</t>
  </si>
  <si>
    <t>10.1111/vde.12518</t>
  </si>
  <si>
    <t>https://www.scopus.com/inward/record.uri?eid=2-s2.0-85040866044&amp;doi=10.1111%2fvde.12518&amp;partnerID=40&amp;md5=60dfbc6bf72d5339a11913b55d42a287</t>
  </si>
  <si>
    <t>2-s2.0-85040866044</t>
  </si>
  <si>
    <t>BÃ¤umer W.; Bizikova P.; Jacob M.; Linder K.E.</t>
  </si>
  <si>
    <t>BÃ¤umer, W. (55930189900); Bizikova, P. (22833827600); Jacob, M. (57201840002); Linder, K.E. (7005336985)</t>
  </si>
  <si>
    <t>55930189900; 22833827600; 57201840002; 7005336985</t>
  </si>
  <si>
    <t>Establishing a canine superficial pyoderma model</t>
  </si>
  <si>
    <t>Journal of Applied Microbiology</t>
  </si>
  <si>
    <t>10.1111/jam.13362</t>
  </si>
  <si>
    <t>https://www.scopus.com/inward/record.uri?eid=2-s2.0-85008237759&amp;doi=10.1111%2fjam.13362&amp;partnerID=40&amp;md5=2e892a7c227a94294f8aaa4f1ca5f3cf</t>
  </si>
  <si>
    <t>2-s2.0-85008237759</t>
  </si>
  <si>
    <t>Costa S.S.; Oliveira V.; Serrano M.; Pomba C.; Couto I.</t>
  </si>
  <si>
    <t>Costa, Sofia Santos (7201998885); Oliveira, ValÃ©ria (57223614586); Serrano, Maria (57225430436); Pomba, ConstanÃ§a (55971686400); Couto, Isabel (55916738200)</t>
  </si>
  <si>
    <t>7201998885; 57223614586; 57225430436; 55971686400; 55916738200</t>
  </si>
  <si>
    <t>Phenotypic and molecular traits of staphylococcus coagulans associated with canine skin infections in portugal</t>
  </si>
  <si>
    <t>10.3390/antibiotics10050518</t>
  </si>
  <si>
    <t>https://www.scopus.com/inward/record.uri?eid=2-s2.0-85105922622&amp;doi=10.3390%2fantibiotics10050518&amp;partnerID=40&amp;md5=9c058d347b60ffc166dd4b66debc5547</t>
  </si>
  <si>
    <t>2-s2.0-85105922622</t>
  </si>
  <si>
    <t>Citron L.E.; Cain C.L.; Dietrich J.; Cole S.D.</t>
  </si>
  <si>
    <t>Citron, Lindsey E. (57193238349); Cain, Christine L. (36781861500); Dietrich, Jaclyn (57221921307); Cole, Stephen D. (56844472300)</t>
  </si>
  <si>
    <t>57193238349; 36781861500; 57221921307; 56844472300</t>
  </si>
  <si>
    <t>Genomic and clinical case characterisation of Staphylococcus haemolyticus isolated from dogs and cats in the United States, including strains with high-level mupirocin tolerance</t>
  </si>
  <si>
    <t>10.1111/vde.13154</t>
  </si>
  <si>
    <t>https://www.scopus.com/inward/record.uri?eid=2-s2.0-85150654474&amp;doi=10.1111%2fvde.13154&amp;partnerID=40&amp;md5=4c12aff243d5dc90e90cdc720207ba2b</t>
  </si>
  <si>
    <t>2-s2.0-85150654474</t>
  </si>
  <si>
    <t>Blunt C.A.; van Vuuren M.; Picard J.</t>
  </si>
  <si>
    <t>Blunt, Catherine A. (56003987700); van Vuuren, Moritz (7004572625); Picard, Jacqueline (7201606802)</t>
  </si>
  <si>
    <t>56003987700; 7004572625; 7201606802</t>
  </si>
  <si>
    <t>Antimicrobial susceptibility profiles of staphylococcus intermedius isolates from clinical cases of canine pyoderma in South Africa</t>
  </si>
  <si>
    <t>Article 276</t>
  </si>
  <si>
    <t>10.4102/jsava.v84i1.276</t>
  </si>
  <si>
    <t>https://www.scopus.com/inward/record.uri?eid=2-s2.0-84892467689&amp;doi=10.4102%2fjsava.v84i1.276&amp;partnerID=40&amp;md5=7eb8e7d4ef6fa87baf96177b3ef71be9</t>
  </si>
  <si>
    <t>2-s2.0-84892467689</t>
  </si>
  <si>
    <t>Arais L.R.; Barbosa A.V.; Carvalho C.A.; Cerqueira A.M.F.</t>
  </si>
  <si>
    <t>Arais, Lavicie R. (55070088800); Barbosa, AndrÃ© V. (37025455400); Carvalho, Cristiane A. (57117181900); Cerqueira, Aloysio M.F. (7003851919)</t>
  </si>
  <si>
    <t>55070088800; 37025455400; 57117181900; 7003851919</t>
  </si>
  <si>
    <t>Antimicrobial resistance, integron carriage, and gyrA and gyrB mutations in Pseudomonas aeruginosa isolated from dogs with otitis externa and pyoderma in Brazil</t>
  </si>
  <si>
    <t>e31</t>
  </si>
  <si>
    <t>10.1111/vde.12290</t>
  </si>
  <si>
    <t>https://www.scopus.com/inward/record.uri?eid=2-s2.0-84960241749&amp;doi=10.1111%2fvde.12290&amp;partnerID=40&amp;md5=29ac5ba79f388d69bb5f37ab1f10fa73</t>
  </si>
  <si>
    <t>2-s2.0-84960241749</t>
  </si>
  <si>
    <t>Rossi C.C.; Salgado B.A.B.; Barros E.M.; de Campos Braga P.A.; Eberlin M.N.; Lilenbaum W.; Giambiagi-deMarval M.</t>
  </si>
  <si>
    <t>Rossi, C.C. (37100339500); Salgado, B.A.B. (57222470176); Barros, E.M. (22940084800); de Campos Braga, P.A. (56134687800); Eberlin, M.N. (7005119089); Lilenbaum, W. (56235293200); Giambiagi-deMarval, M. (6603178367)</t>
  </si>
  <si>
    <t>37100339500; 57222470176; 22940084800; 56134687800; 7005119089; 56235293200; 6603178367</t>
  </si>
  <si>
    <t>Identification of Staphylococcus epidermidis with transferrable mupirocin resistance from canine skin</t>
  </si>
  <si>
    <t>10.1016/j.tvjl.2018.03.009</t>
  </si>
  <si>
    <t>https://www.scopus.com/inward/record.uri?eid=2-s2.0-85045109657&amp;doi=10.1016%2fj.tvjl.2018.03.009&amp;partnerID=40&amp;md5=bed9fca61dff58987aee2f1f9304997b</t>
  </si>
  <si>
    <t>2-s2.0-85045109657</t>
  </si>
  <si>
    <t>Sisyawati Putriningsih P.A.; Phuektes P.; Jittimanee S.; Kampa J.</t>
  </si>
  <si>
    <t>Sisyawati Putriningsih, Putu Ayu (58810805400); Phuektes, Patchara (7801594781); Jittimanee, Suphattra (45161458000); Kampa, Jaruwan (16301309500)</t>
  </si>
  <si>
    <t>58810805400; 7801594781; 45161458000; 16301309500</t>
  </si>
  <si>
    <t>Methicillin-resistant Staphylococci in canine pyoderma in Thailand</t>
  </si>
  <si>
    <t>10.14202/vetworld.2023.2340-2348</t>
  </si>
  <si>
    <t>https://www.scopus.com/inward/record.uri?eid=2-s2.0-85182258656&amp;doi=10.14202%2fvetworld.2023.2340-2348&amp;partnerID=40&amp;md5=08b745f1d9f7eb7f4363f8d25f4a8bb4</t>
  </si>
  <si>
    <t>2-s2.0-85182258656</t>
  </si>
  <si>
    <t>Lee G.Y.; Lee S.I.; Park J.H.; Do Kim S.; Kim G.-B.; Yang S.-J.</t>
  </si>
  <si>
    <t>Lee, Gi Yong (57193082569); Lee, Soo In (57219913345); Park, Ji Heon (57219916522); Do Kim, Sun (58741225200); Kim, Geun-Bae (7403064310); Yang, Soo-Jin (57408826300)</t>
  </si>
  <si>
    <t>57193082569; 57219913345; 57219916522; 58741225200; 7403064310; 57408826300</t>
  </si>
  <si>
    <t>Detection and characterization of potential virulence determinants in Staphylococcus pseudintermedius and S. schleiferi strains isolated from canine otitis externa in Korea</t>
  </si>
  <si>
    <t>Journal of Veterinary Science</t>
  </si>
  <si>
    <t>e85</t>
  </si>
  <si>
    <t>10.4142/jvs.23087</t>
  </si>
  <si>
    <t>https://www.scopus.com/inward/record.uri?eid=2-s2.0-85178455879&amp;doi=10.4142%2fjvs.23087&amp;partnerID=40&amp;md5=24c4819cb8dc1155eb11a543a5d688b2</t>
  </si>
  <si>
    <t>2-s2.0-85178455879</t>
  </si>
  <si>
    <t>Schmidt V.M.; Pinchbeck G.; Nuttall T.; Shaw S.; McIntyre K.M.; McEwan N.; Dawson S.; Williams N.J.</t>
  </si>
  <si>
    <t>Schmidt, Vanessa M. (36129151300); Pinchbeck, Gina (6602110563); Nuttall, Tim (7004090408); Shaw, Steve (57213209001); McIntyre, K. Marie (35722538500); McEwan, Neil (7005356103); Dawson, Susan (7202901054); Williams, Nicola J. (9433966300)</t>
  </si>
  <si>
    <t>36129151300; 6602110563; 7004090408; 57213209001; 35722538500; 7005356103; 7202901054; 9433966300</t>
  </si>
  <si>
    <t>Impact of systemic antimicrobial therapy on mucosal staphylococci in a population of dogs in Northwest England</t>
  </si>
  <si>
    <t>e70</t>
  </si>
  <si>
    <t>10.1111/vde.12538</t>
  </si>
  <si>
    <t>https://www.scopus.com/inward/record.uri?eid=2-s2.0-85047852959&amp;doi=10.1111%2fvde.12538&amp;partnerID=40&amp;md5=aba7772938561cb5fd934d8c7b366fe7</t>
  </si>
  <si>
    <t>2-s2.0-85047852959</t>
  </si>
  <si>
    <t>BÃ¤umer W.; Jacobs M.; Tamamoto-Mochizuki C.</t>
  </si>
  <si>
    <t>BÃ¤umer, Wolfgang (55930189900); Jacobs, Megan (57211908517); Tamamoto-Mochizuki, Chie (57195458162)</t>
  </si>
  <si>
    <t>55930189900; 57211908517; 57195458162</t>
  </si>
  <si>
    <t>Efficacy study of a topical treatment with a plant extract with antibiofilm activities using an in vivo model of canine superficial pyoderma</t>
  </si>
  <si>
    <t>10.1111/vde.12808</t>
  </si>
  <si>
    <t>https://www.scopus.com/inward/record.uri?eid=2-s2.0-85075305267&amp;doi=10.1111%2fvde.12808&amp;partnerID=40&amp;md5=6793c299785897ae8877bce18a90567b</t>
  </si>
  <si>
    <t>2-s2.0-85075305267</t>
  </si>
  <si>
    <t>Molchanova N.; Hansen P.R.; Damborg P.; Franzyk H.</t>
  </si>
  <si>
    <t>Molchanova, Natalia (57192982129); Hansen, Paul R. (7403235863); Damborg, Peter (6504619253); Franzyk, Henrik (7003941562)</t>
  </si>
  <si>
    <t>57192982129; 7403235863; 6504619253; 7003941562</t>
  </si>
  <si>
    <t>Fluorinated antimicrobial lysine-based peptidomimetics with activity against methicillin-resistant Staphylococcus pseudintermedius</t>
  </si>
  <si>
    <t>Journal of Peptide Science</t>
  </si>
  <si>
    <t>e3098</t>
  </si>
  <si>
    <t>10.1002/psc.3098</t>
  </si>
  <si>
    <t>https://www.scopus.com/inward/record.uri?eid=2-s2.0-85050453779&amp;doi=10.1002%2fpsc.3098&amp;partnerID=40&amp;md5=4a01c452babc7b540adca3c321247e83</t>
  </si>
  <si>
    <t>2-s2.0-85050453779</t>
  </si>
  <si>
    <t>Color</t>
  </si>
  <si>
    <t>Motivo de eliminación</t>
  </si>
  <si>
    <t>Amarillo</t>
  </si>
  <si>
    <t>Duplicado de otras editoriales</t>
  </si>
  <si>
    <t>No es tipo artículo</t>
  </si>
  <si>
    <t>Cantidad</t>
  </si>
  <si>
    <t xml:space="preserve">Rojo </t>
  </si>
  <si>
    <t>Gris</t>
  </si>
  <si>
    <t>No aborda resistencia antimicrobiana en perros</t>
  </si>
  <si>
    <t>Paso</t>
  </si>
  <si>
    <t>Naranja</t>
  </si>
  <si>
    <t>No contener datos específicos de pioderma o problemas de piel</t>
  </si>
  <si>
    <t>LINK</t>
  </si>
  <si>
    <t>Total de artículos revisados</t>
  </si>
  <si>
    <t xml:space="preserve">Ar. Incluidos </t>
  </si>
  <si>
    <t>Autor</t>
  </si>
  <si>
    <t>Año</t>
  </si>
  <si>
    <t>Idioma</t>
  </si>
  <si>
    <t>País</t>
  </si>
  <si>
    <t>Cuartil Revista</t>
  </si>
  <si>
    <t>No. Citas</t>
  </si>
  <si>
    <t>Revista</t>
  </si>
  <si>
    <t>Estudio</t>
  </si>
  <si>
    <t>Principal tipo de muestra</t>
  </si>
  <si>
    <t>Otros sitios</t>
  </si>
  <si>
    <t>Bacterias causantes</t>
  </si>
  <si>
    <t>AB+Resiste</t>
  </si>
  <si>
    <t>AB+Suuscep</t>
  </si>
  <si>
    <t>Cultivo</t>
  </si>
  <si>
    <t>Imanashi et al.</t>
  </si>
  <si>
    <t>Inglés</t>
  </si>
  <si>
    <t>Japon</t>
  </si>
  <si>
    <t>BMC Veterinary Research</t>
  </si>
  <si>
    <t>Retrospectivo</t>
  </si>
  <si>
    <t>Lesiones de piel</t>
  </si>
  <si>
    <t>Cavidad oral</t>
  </si>
  <si>
    <t>Agar Colombia con 5% de sangre de ovino</t>
  </si>
  <si>
    <t>Streptococcus canis</t>
  </si>
  <si>
    <t>Vancomicina</t>
  </si>
  <si>
    <t>Q1</t>
  </si>
  <si>
    <t>Eckholm et al.</t>
  </si>
  <si>
    <t>USA</t>
  </si>
  <si>
    <t>Sudafrica</t>
  </si>
  <si>
    <t>Total de muestras</t>
  </si>
  <si>
    <t>Aspirados con agujas finas</t>
  </si>
  <si>
    <t>Ampicilina</t>
  </si>
  <si>
    <t>Q2</t>
  </si>
  <si>
    <t>Blunt et al.</t>
  </si>
  <si>
    <t>Arais et al</t>
  </si>
  <si>
    <t>Brasil</t>
  </si>
  <si>
    <t>Otitis</t>
  </si>
  <si>
    <t>No especifica</t>
  </si>
  <si>
    <t>Pseudomonas aeruginosa</t>
  </si>
  <si>
    <t>Enrofloxacina</t>
  </si>
  <si>
    <t>Tobramicina</t>
  </si>
  <si>
    <t>Ventrella et al.</t>
  </si>
  <si>
    <t>Ingles</t>
  </si>
  <si>
    <t>Italia</t>
  </si>
  <si>
    <t>Oido y otras partes del cuerpo</t>
  </si>
  <si>
    <t>Staphylococcus pseudintermedius</t>
  </si>
  <si>
    <t>Clotrimazol</t>
  </si>
  <si>
    <t>Gentamicina</t>
  </si>
  <si>
    <t xml:space="preserve">Cain et al. </t>
  </si>
  <si>
    <t>Burkholderia cepacia</t>
  </si>
  <si>
    <t>Ticarcilina</t>
  </si>
  <si>
    <t>Park et al.</t>
  </si>
  <si>
    <t>Korea del Sur</t>
  </si>
  <si>
    <t>No</t>
  </si>
  <si>
    <t>Penicilina</t>
  </si>
  <si>
    <t>Rifampicina</t>
  </si>
  <si>
    <t>van Damme et al.</t>
  </si>
  <si>
    <t>Holanda</t>
  </si>
  <si>
    <t>Clindamicina</t>
  </si>
  <si>
    <t>Fluoroquinolonas</t>
  </si>
  <si>
    <t>González-Domínguez et al.</t>
  </si>
  <si>
    <t>Colombia</t>
  </si>
  <si>
    <t>Frontiers in Veterinary Sciences</t>
  </si>
  <si>
    <t>Descriptivo</t>
  </si>
  <si>
    <t>Imipenem</t>
  </si>
  <si>
    <t>Lim et al.</t>
  </si>
  <si>
    <t>VITEK 2 System</t>
  </si>
  <si>
    <t>Ac. Fusidico</t>
  </si>
  <si>
    <t>Staphylococcus resistente a la penicilina</t>
  </si>
  <si>
    <t>Tetraciclinas</t>
  </si>
  <si>
    <t>Chayanat et al.</t>
  </si>
  <si>
    <t>Tailandia</t>
  </si>
  <si>
    <t>Veterinary Science</t>
  </si>
  <si>
    <t>Dégi et al.</t>
  </si>
  <si>
    <t>Rumania</t>
  </si>
  <si>
    <t>Ceftazidima</t>
  </si>
  <si>
    <t>Polimixin-B</t>
  </si>
  <si>
    <t>Costa et al.</t>
  </si>
  <si>
    <t>Portugal</t>
  </si>
  <si>
    <t>Axilas y Lesiones perianales</t>
  </si>
  <si>
    <t>Caldo de triptona soja o agar</t>
  </si>
  <si>
    <t>Staphylococcus coagulans</t>
  </si>
  <si>
    <t>Viegas et al.</t>
  </si>
  <si>
    <t>PLoS One</t>
  </si>
  <si>
    <t>Agar sal manitol</t>
  </si>
  <si>
    <t>Nitrofurantoina</t>
  </si>
  <si>
    <t>Lai et al.</t>
  </si>
  <si>
    <t>Amoxiciina+Ac. Clavulánico</t>
  </si>
  <si>
    <t>Cloramfenicol</t>
  </si>
  <si>
    <t>Putriningsih et al.</t>
  </si>
  <si>
    <t>inglés</t>
  </si>
  <si>
    <t>Doxiciclina</t>
  </si>
  <si>
    <t>Amikacina</t>
  </si>
  <si>
    <t>Naziri y Majlesi</t>
  </si>
  <si>
    <t>P128</t>
  </si>
  <si>
    <t>Junjappa et al.</t>
  </si>
  <si>
    <t>Larsen et al.</t>
  </si>
  <si>
    <t>Dinamarca</t>
  </si>
  <si>
    <t>Lincosamidas</t>
  </si>
  <si>
    <t>Varshney y Devi</t>
  </si>
  <si>
    <t>Veterinary Practitioner</t>
  </si>
  <si>
    <t>Q4</t>
  </si>
  <si>
    <t>Staphylococcus aureus</t>
  </si>
  <si>
    <t>Linezolida</t>
  </si>
  <si>
    <t>Hattab et al.</t>
  </si>
  <si>
    <t>Oido e infección de vejiga</t>
  </si>
  <si>
    <t>Piperacilina-tazobactam</t>
  </si>
  <si>
    <t>Nocera et al.</t>
  </si>
  <si>
    <t>Vancomicina y Linezolida</t>
  </si>
  <si>
    <t>Banović et al.</t>
  </si>
  <si>
    <t>Trimetoprima/sulfonamidas</t>
  </si>
  <si>
    <t>Bean y Wigmore</t>
  </si>
  <si>
    <t>Oido</t>
  </si>
  <si>
    <t>Boca, Nariz y Perineo</t>
  </si>
  <si>
    <t>Mupirocina</t>
  </si>
  <si>
    <r>
      <t>M</t>
    </r>
    <r>
      <rPr>
        <sz val="10"/>
        <color rgb="FF000000"/>
        <rFont val="Calibri"/>
        <family val="2"/>
      </rPr>
      <t>ü</t>
    </r>
    <r>
      <rPr>
        <sz val="10"/>
        <color rgb="FF000000"/>
        <rFont val="Calibri"/>
        <family val="2"/>
        <scheme val="minor"/>
      </rPr>
      <t>ller-Hinton</t>
    </r>
  </si>
  <si>
    <t>Müller-Hinton</t>
  </si>
  <si>
    <t>Agar Sangre</t>
  </si>
  <si>
    <t>India</t>
  </si>
  <si>
    <t>Irán</t>
  </si>
  <si>
    <t xml:space="preserve">Cantidad </t>
  </si>
  <si>
    <t>Frecuencia</t>
  </si>
  <si>
    <t>Oido, boca, nariz, perineo e infecciones de la vejiga</t>
  </si>
  <si>
    <r>
      <t xml:space="preserve">Staphylococcus </t>
    </r>
    <r>
      <rPr>
        <sz val="10"/>
        <color rgb="FF000000"/>
        <rFont val="Calibri"/>
        <family val="2"/>
        <scheme val="minor"/>
      </rPr>
      <t>sp.</t>
    </r>
  </si>
  <si>
    <t>Australia</t>
  </si>
  <si>
    <t>%</t>
  </si>
  <si>
    <t xml:space="preserve">Antibiótico </t>
  </si>
  <si>
    <t>Resistencia</t>
  </si>
  <si>
    <t>Susceptibilidad</t>
  </si>
  <si>
    <t>Scope</t>
  </si>
  <si>
    <t>Factor de impacto</t>
  </si>
  <si>
    <t>Costos</t>
  </si>
  <si>
    <t>Veterinary Research Communications publishes fully refereed research articles and topical reviews on all aspects of the veterinary sciences. Interdisciplinary articles are particularly encouraged, as are well argued reviews, even if they are somewhat controversial.</t>
  </si>
  <si>
    <t>Springer</t>
  </si>
  <si>
    <t>Hibrida</t>
  </si>
  <si>
    <t>Veterinary World publishes high quality papers focusing on Veterinary and Animal Science. The fields of study are bacteriology, parasitology, pathology, virology, immunology, mycology, public health, biotechnology, meat science, fish diseases, nutrition, gynecology, genetics, wildlife, laboratory animals, animal models of human infections, prion diseases and epidemiology. Studies on zoonotic and emerging infections are highly appreciated. Review articles are highly appreciated. All articles published by Veterinary World are made freely and permanently accessible online. All articles to Veterinary World are posted online immediately as they are ready for publication.</t>
  </si>
  <si>
    <t>Veterinary World-India</t>
  </si>
  <si>
    <t>Si</t>
  </si>
  <si>
    <t>https://veterinaryworld.org/about.html</t>
  </si>
  <si>
    <t>https://link.springer.com/journal/11259</t>
  </si>
  <si>
    <t>MDPI</t>
  </si>
  <si>
    <t>Veterinary Sciences is an international and interdisciplinary scholarly open access journal. It publishes original that are relevant to any field of veterinary sciences, including prevention, diagnosis and treatment of disease, disorder and injury in animals. This journal covers almost all topics related to animal health and veterinary medicine. Research fields of interest include but are not limited to: anaesthesiology, anatomy, bacteriology, biochemistry, cardiology, dentistry, dermatology, embryology, endocrinology, epidemiology, genetics, histology, immunology, microbiology, molecular biology, mycology, neurobiology, oncology, ophthalmology, parasitology, pathology, pharmacology, physiology, radiology, surgery, theriogenology, toxicology, virology.</t>
  </si>
  <si>
    <t>https://www.mdpi.com/journal/vetsci</t>
  </si>
  <si>
    <t>Journal of Veterinary Medical Science</t>
  </si>
  <si>
    <t>Japanese Society of Veterinary Science</t>
  </si>
  <si>
    <t>JVMS is a peer-reviewed journal and publishes a variety of papers on veterinary science from basic research to applied science and clinical research. JVMS is published monthly and consists of twelve issues per year. Papers are from the areas of anatomy, physiology, pharmacology, toxicology, pathology, immunology, microbiology, virology, parasitology, internal medicine, surgery, clinical pathology, theriogenology, avian disease, public health, ethology, and laboratory animal science. Although JVMS has played a role in publishing the scientific achievements of Japanese researchers and clinicians for many years, it now also accepts papers submitted from all over the world.</t>
  </si>
  <si>
    <t>Si (16000yenes-$3000)</t>
  </si>
  <si>
    <t>https://www.jstage.jst.go.jp/browse/jvms/-char/en</t>
  </si>
  <si>
    <t>Open Journal of Animal Sciences</t>
  </si>
  <si>
    <t>SCIRP</t>
  </si>
  <si>
    <t>https://www.scirp.org/journal/ojas/?utm_campaign=1416495552_55371135742&amp;utm_source=liuyj&amp;utm_medium=adwords&amp;utm_term=open%20journal%20of%20animal%20sciences&amp;utm_content=aud-420555511423:kwd-861169788435_c____1010205_b&amp;gad_source=1&amp;gclid=Cj0KCQiAoJC-BhCSARIsAPhdfShXISYviMRjh1CLkwPrMPiHAF5ZwcT48YvfTgjSo4kBx48MrZTqxWcaAmUzEALw_wcB</t>
  </si>
  <si>
    <t>Open Journal of Animal Sciences (OJAS) is an international journal dedicated to the latest advancement in animal sciences. The goal of this journal is to provide a platform for scientists and academicians all over the world to promote, share, and discuss various new issues and developments in different areas of animal sciences.</t>
  </si>
  <si>
    <t>Animal diseases</t>
  </si>
  <si>
    <t>Animal Diseases is a peer-reviewed, open access academic journal sponsored by Huazhong Agricultural University. The journal promoting One Health initiative and committed to publish high-quality innovated and prospective works in animal disease research/application which are closely related to human health. The founding chief editors are Drs. Huanchun Chen (Huazhong Agricultural University, China) and Zhen F. Fu (University of Georgia, USA). The editorial board is composed of top scientists from 11 countries, with expertise in the fields of veterinary medicine and public health. Animal Diseases will publish Research articles, Reviews, Short Communication, Case Report etc.</t>
  </si>
  <si>
    <t>https://animaldiseases.biomedcentral.com/</t>
  </si>
  <si>
    <t>The Archives of Veterinary Medicine (ISSN 1820-9955, eISSN 2683-4138) is an Open-Access, peer-reviewed scientific journal published by the Scientific Veterinary Institute “Novi Sad”, Serbia, since 2008. The journal is indexed in Scopus, CrossRef, doiSerbia, EBSCO, CABI, DOAJ, Sherpa Romeo, OpenDOAR, and AGRIS. Scopus CiteScoreTracker 2024 : 0,7. Our mission is to advance veterinary science and biotechnology by publishing high-quality research articles, review papers, short communications, and case reports.</t>
  </si>
  <si>
    <t>Archives of Veterinary Medicine</t>
  </si>
  <si>
    <t>Scientific Veterinary Institute Novi Sad</t>
  </si>
  <si>
    <t>https://niv.ns.ac.rs/e-avm/index.php/e-avm/index</t>
  </si>
  <si>
    <t>A Archives of Veterinary Science é o periódico científico oficial do Programa de Pós-Graduação em Ciências Veterinárias da Universidade Federal do Paraná. O periódico é destinado à publicação de artigos, revisões e notas científicas nas diversas áreas da Medicina Veterinária. O regime de publicação é de um volume anual, dividido em quatro números trimestrais.</t>
  </si>
  <si>
    <t>https://revistas.ufpr.br/veterinary/index</t>
  </si>
  <si>
    <t>Universidade Federal do Parana</t>
  </si>
  <si>
    <t>Archives of Veterinary Science</t>
  </si>
  <si>
    <t>Oxacilina</t>
  </si>
  <si>
    <t>Lincosamida</t>
  </si>
  <si>
    <t>Meticilina</t>
  </si>
  <si>
    <t>Cotrimoxazol</t>
  </si>
  <si>
    <t>Amoxicilina</t>
  </si>
  <si>
    <t>Amoxicilina+Ac. Clavulánico</t>
  </si>
  <si>
    <t>Polimixina-B</t>
  </si>
  <si>
    <t>Linezolida y Rifampicina</t>
  </si>
  <si>
    <t xml:space="preserve">Linezolida y Vancomicina </t>
  </si>
  <si>
    <t>Aumectina</t>
  </si>
  <si>
    <t>Referencia</t>
  </si>
  <si>
    <t>Blunt et al. (2013)</t>
  </si>
  <si>
    <t>Eckholm et al. (2013)</t>
  </si>
  <si>
    <t>Junjappa et al. (2013)</t>
  </si>
  <si>
    <t>Larsen et al. 2015</t>
  </si>
  <si>
    <t>Banović et al. (2015)</t>
  </si>
  <si>
    <t>Bean y Wigmore (2016)</t>
  </si>
  <si>
    <t>Arais et al. (2016)</t>
  </si>
  <si>
    <t>Ventrella et al. (2017)</t>
  </si>
  <si>
    <t>Cain et al. (2018)</t>
  </si>
  <si>
    <t>Park et al. (2018)</t>
  </si>
  <si>
    <t>Nocera et al. (2020)</t>
  </si>
  <si>
    <t>González-Domínguez et al. (2020)</t>
  </si>
  <si>
    <t>van Damme et al. (2020)</t>
  </si>
  <si>
    <t>Lim et al. (2020)</t>
  </si>
  <si>
    <t>Varshney y Devi (2020)</t>
  </si>
  <si>
    <t>Dégi et al. (2021)</t>
  </si>
  <si>
    <t>Costa et al. (2021)</t>
  </si>
  <si>
    <t>Chayanat et al. (2021)</t>
  </si>
  <si>
    <t>Hattab et al. (2021)</t>
  </si>
  <si>
    <t>Imanashi et al. (2022)</t>
  </si>
  <si>
    <t>Viegas et al. (2022)</t>
  </si>
  <si>
    <t>Naziri y Majlesi (2022)</t>
  </si>
  <si>
    <t>Lai et al. (2022)</t>
  </si>
  <si>
    <t>Putriningsih et al. (2023)</t>
  </si>
  <si>
    <t>D1</t>
  </si>
  <si>
    <t>D2</t>
  </si>
  <si>
    <t>D3</t>
  </si>
  <si>
    <t>D4</t>
  </si>
  <si>
    <t>D5</t>
  </si>
  <si>
    <t>D6</t>
  </si>
  <si>
    <t>D7</t>
  </si>
  <si>
    <t>Low</t>
  </si>
  <si>
    <t>Moderate</t>
  </si>
  <si>
    <t>No information</t>
  </si>
  <si>
    <t>Sesgo debido a la confusión</t>
  </si>
  <si>
    <t>Sesgo en la selección de participantes en el estudio</t>
  </si>
  <si>
    <t>Sesgo en la clasificación de las intervenciones</t>
  </si>
  <si>
    <t>Sesgo debido a desviaciones de las intervenciones previstas</t>
  </si>
  <si>
    <t>Sesgo debido a datos faltantes</t>
  </si>
  <si>
    <t>Sesgo en la medición del resultado</t>
  </si>
  <si>
    <t>Sesgo en la selección del resultado informado</t>
  </si>
  <si>
    <t>Critical</t>
  </si>
  <si>
    <t>Serious</t>
  </si>
  <si>
    <t xml:space="preserve">Low </t>
  </si>
  <si>
    <t xml:space="preserve">Critical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</si>
</sst>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numFmts>
  <fonts count="11" x14ac:knownFonts="1">
    <font>
      <sz val="10"/>
      <color rgb="FF000000"/>
      <name val="Calibri"/>
      <scheme val="minor"/>
    </font>
    <font>
      <sz val="10"/>
      <name val="Calibri"/>
    </font>
    <font>
      <u/>
      <sz val="10"/>
      <color rgb="FF0000FF"/>
      <name val="Calibri"/>
    </font>
    <font>
      <u/>
      <sz val="10"/>
      <color theme="10"/>
      <name val="Calibri"/>
      <scheme val="minor"/>
    </font>
    <font>
      <sz val="10"/>
      <name val="Calibri"/>
      <family val="2"/>
    </font>
    <font>
      <b/>
      <sz val="10"/>
      <color rgb="FF000000"/>
      <name val="Calibri"/>
      <family val="2"/>
      <scheme val="minor"/>
    </font>
    <font>
      <sz val="10"/>
      <color rgb="FF000000"/>
      <name val="Calibri"/>
      <family val="2"/>
      <scheme val="minor"/>
    </font>
    <font>
      <sz val="10"/>
      <color rgb="FF000000"/>
      <name val="Calibri"/>
      <family val="2"/>
    </font>
    <font>
      <i/>
      <sz val="10"/>
      <color rgb="FF000000"/>
      <name val="Calibri"/>
      <family val="2"/>
      <scheme val="minor"/>
    </font>
    <font>
      <sz val="10"/>
      <name val="Calibri"/>
      <family val="2"/>
      <scheme val="minor"/>
    </font>
    <font>
      <sz val="8"/>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bgColor indexed="64"/>
      </patternFill>
    </fill>
    <fill>
      <patternFill patternType="solid">
        <fgColor theme="6"/>
        <bgColor indexed="64"/>
      </patternFill>
    </fill>
    <fill>
      <patternFill patternType="solid">
        <fgColor theme="5"/>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1" fillId="0" borderId="0" xfId="0" applyFont="1"/>
    <xf numFmtId="0" fontId="2" fillId="0" borderId="0" xfId="0" applyFont="1"/>
    <xf numFmtId="164" fontId="1" fillId="0" borderId="0" xfId="0" applyNumberFormat="1" applyFont="1"/>
    <xf numFmtId="0" fontId="1" fillId="2" borderId="0" xfId="0" applyFont="1" applyFill="1"/>
    <xf numFmtId="0" fontId="1" fillId="3" borderId="0" xfId="0" applyFont="1" applyFill="1"/>
    <xf numFmtId="0" fontId="3" fillId="0" borderId="0" xfId="1"/>
    <xf numFmtId="0" fontId="0" fillId="4" borderId="0" xfId="0" applyFill="1"/>
    <xf numFmtId="0" fontId="0" fillId="2" borderId="0" xfId="0" applyFill="1"/>
    <xf numFmtId="0" fontId="0" fillId="3" borderId="0" xfId="0" applyFill="1"/>
    <xf numFmtId="0" fontId="0" fillId="5" borderId="0" xfId="0" applyFill="1"/>
    <xf numFmtId="0" fontId="1" fillId="5" borderId="0" xfId="0" applyFont="1" applyFill="1"/>
    <xf numFmtId="0" fontId="0" fillId="6" borderId="0" xfId="0" applyFill="1"/>
    <xf numFmtId="0" fontId="4" fillId="0" borderId="0" xfId="0" applyFont="1"/>
    <xf numFmtId="0" fontId="1" fillId="6" borderId="0" xfId="0" applyFont="1" applyFill="1"/>
    <xf numFmtId="0" fontId="5" fillId="0" borderId="0" xfId="0" applyFont="1" applyAlignment="1">
      <alignment horizontal="center"/>
    </xf>
    <xf numFmtId="0" fontId="6" fillId="0" borderId="0" xfId="0" applyFont="1"/>
    <xf numFmtId="0" fontId="5" fillId="0" borderId="0" xfId="0" applyFont="1"/>
    <xf numFmtId="0" fontId="8" fillId="0" borderId="0" xfId="0" applyFont="1"/>
    <xf numFmtId="0" fontId="9" fillId="0" borderId="0" xfId="0" applyFont="1" applyAlignment="1">
      <alignment horizontal="center"/>
    </xf>
    <xf numFmtId="0" fontId="9" fillId="0" borderId="0" xfId="0" applyFont="1"/>
    <xf numFmtId="2" fontId="0" fillId="0" borderId="0" xfId="0" applyNumberFormat="1"/>
    <xf numFmtId="0" fontId="6" fillId="7" borderId="0" xfId="0" applyFont="1" applyFill="1"/>
    <xf numFmtId="0" fontId="0" fillId="7" borderId="0" xfId="0"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Hoja3!$B$1</c:f>
              <c:strCache>
                <c:ptCount val="1"/>
                <c:pt idx="0">
                  <c:v>Cantidad </c:v>
                </c:pt>
              </c:strCache>
            </c:strRef>
          </c:tx>
          <c:dPt>
            <c:idx val="0"/>
            <c:bubble3D val="0"/>
            <c:spPr>
              <a:solidFill>
                <a:schemeClr val="accent1"/>
              </a:solidFill>
              <a:ln>
                <a:noFill/>
              </a:ln>
              <a:effectLst/>
              <a:sp3d/>
            </c:spPr>
            <c:extLst>
              <c:ext xmlns:c16="http://schemas.microsoft.com/office/drawing/2014/chart" uri="{C3380CC4-5D6E-409C-BE32-E72D297353CC}">
                <c16:uniqueId val="{00000001-0780-4C12-81DD-03A29E977295}"/>
              </c:ext>
            </c:extLst>
          </c:dPt>
          <c:dPt>
            <c:idx val="1"/>
            <c:bubble3D val="0"/>
            <c:spPr>
              <a:solidFill>
                <a:schemeClr val="accent3"/>
              </a:solidFill>
              <a:ln>
                <a:noFill/>
              </a:ln>
              <a:effectLst/>
              <a:sp3d/>
            </c:spPr>
            <c:extLst>
              <c:ext xmlns:c16="http://schemas.microsoft.com/office/drawing/2014/chart" uri="{C3380CC4-5D6E-409C-BE32-E72D297353CC}">
                <c16:uniqueId val="{00000003-0780-4C12-81DD-03A29E977295}"/>
              </c:ext>
            </c:extLst>
          </c:dPt>
          <c:dPt>
            <c:idx val="2"/>
            <c:bubble3D val="0"/>
            <c:spPr>
              <a:solidFill>
                <a:schemeClr val="accent5"/>
              </a:solidFill>
              <a:ln>
                <a:noFill/>
              </a:ln>
              <a:effectLst/>
              <a:sp3d/>
            </c:spPr>
            <c:extLst>
              <c:ext xmlns:c16="http://schemas.microsoft.com/office/drawing/2014/chart" uri="{C3380CC4-5D6E-409C-BE32-E72D297353CC}">
                <c16:uniqueId val="{00000010-3DC6-4915-8B71-C4F4EB3D1D99}"/>
              </c:ext>
            </c:extLst>
          </c:dPt>
          <c:dPt>
            <c:idx val="3"/>
            <c:bubble3D val="0"/>
            <c:spPr>
              <a:solidFill>
                <a:schemeClr val="accent1">
                  <a:lumMod val="60000"/>
                </a:schemeClr>
              </a:solidFill>
              <a:ln>
                <a:noFill/>
              </a:ln>
              <a:effectLst/>
              <a:sp3d/>
            </c:spPr>
            <c:extLst>
              <c:ext xmlns:c16="http://schemas.microsoft.com/office/drawing/2014/chart" uri="{C3380CC4-5D6E-409C-BE32-E72D297353CC}">
                <c16:uniqueId val="{00000007-0780-4C12-81DD-03A29E977295}"/>
              </c:ext>
            </c:extLst>
          </c:dPt>
          <c:dPt>
            <c:idx val="4"/>
            <c:bubble3D val="0"/>
            <c:spPr>
              <a:solidFill>
                <a:schemeClr val="accent3">
                  <a:lumMod val="60000"/>
                </a:schemeClr>
              </a:solidFill>
              <a:ln>
                <a:noFill/>
              </a:ln>
              <a:effectLst/>
              <a:sp3d/>
            </c:spPr>
            <c:extLst>
              <c:ext xmlns:c16="http://schemas.microsoft.com/office/drawing/2014/chart" uri="{C3380CC4-5D6E-409C-BE32-E72D297353CC}">
                <c16:uniqueId val="{00000009-0780-4C12-81DD-03A29E977295}"/>
              </c:ext>
            </c:extLst>
          </c:dPt>
          <c:dPt>
            <c:idx val="5"/>
            <c:bubble3D val="0"/>
            <c:spPr>
              <a:solidFill>
                <a:schemeClr val="accent5">
                  <a:lumMod val="60000"/>
                </a:schemeClr>
              </a:solidFill>
              <a:ln>
                <a:noFill/>
              </a:ln>
              <a:effectLst/>
              <a:sp3d/>
            </c:spPr>
            <c:extLst>
              <c:ext xmlns:c16="http://schemas.microsoft.com/office/drawing/2014/chart" uri="{C3380CC4-5D6E-409C-BE32-E72D297353CC}">
                <c16:uniqueId val="{0000000D-3DC6-4915-8B71-C4F4EB3D1D99}"/>
              </c:ext>
            </c:extLst>
          </c:dPt>
          <c:dPt>
            <c:idx val="6"/>
            <c:bubble3D val="0"/>
            <c:spPr>
              <a:solidFill>
                <a:schemeClr val="accent1">
                  <a:lumMod val="80000"/>
                  <a:lumOff val="20000"/>
                </a:schemeClr>
              </a:solidFill>
              <a:ln>
                <a:noFill/>
              </a:ln>
              <a:effectLst/>
              <a:sp3d/>
            </c:spPr>
            <c:extLst>
              <c:ext xmlns:c16="http://schemas.microsoft.com/office/drawing/2014/chart" uri="{C3380CC4-5D6E-409C-BE32-E72D297353CC}">
                <c16:uniqueId val="{0000000E-3DC6-4915-8B71-C4F4EB3D1D99}"/>
              </c:ext>
            </c:extLst>
          </c:dPt>
          <c:dPt>
            <c:idx val="7"/>
            <c:bubble3D val="0"/>
            <c:spPr>
              <a:solidFill>
                <a:schemeClr val="accent3">
                  <a:lumMod val="80000"/>
                  <a:lumOff val="20000"/>
                </a:schemeClr>
              </a:solidFill>
              <a:ln>
                <a:noFill/>
              </a:ln>
              <a:effectLst/>
              <a:sp3d/>
            </c:spPr>
            <c:extLst>
              <c:ext xmlns:c16="http://schemas.microsoft.com/office/drawing/2014/chart" uri="{C3380CC4-5D6E-409C-BE32-E72D297353CC}">
                <c16:uniqueId val="{0000000F-0780-4C12-81DD-03A29E977295}"/>
              </c:ext>
            </c:extLst>
          </c:dPt>
          <c:dPt>
            <c:idx val="8"/>
            <c:bubble3D val="0"/>
            <c:spPr>
              <a:solidFill>
                <a:schemeClr val="accent5">
                  <a:lumMod val="80000"/>
                  <a:lumOff val="20000"/>
                </a:schemeClr>
              </a:solidFill>
              <a:ln>
                <a:noFill/>
              </a:ln>
              <a:effectLst/>
              <a:sp3d/>
            </c:spPr>
            <c:extLst>
              <c:ext xmlns:c16="http://schemas.microsoft.com/office/drawing/2014/chart" uri="{C3380CC4-5D6E-409C-BE32-E72D297353CC}">
                <c16:uniqueId val="{00000011-0780-4C12-81DD-03A29E977295}"/>
              </c:ext>
            </c:extLst>
          </c:dPt>
          <c:dPt>
            <c:idx val="9"/>
            <c:bubble3D val="0"/>
            <c:spPr>
              <a:solidFill>
                <a:schemeClr val="accent1">
                  <a:lumMod val="80000"/>
                </a:schemeClr>
              </a:solidFill>
              <a:ln>
                <a:noFill/>
              </a:ln>
              <a:effectLst/>
              <a:sp3d/>
            </c:spPr>
            <c:extLst>
              <c:ext xmlns:c16="http://schemas.microsoft.com/office/drawing/2014/chart" uri="{C3380CC4-5D6E-409C-BE32-E72D297353CC}">
                <c16:uniqueId val="{00000013-0780-4C12-81DD-03A29E977295}"/>
              </c:ext>
            </c:extLst>
          </c:dPt>
          <c:dPt>
            <c:idx val="10"/>
            <c:bubble3D val="0"/>
            <c:spPr>
              <a:solidFill>
                <a:schemeClr val="accent3">
                  <a:lumMod val="80000"/>
                </a:schemeClr>
              </a:solidFill>
              <a:ln>
                <a:noFill/>
              </a:ln>
              <a:effectLst/>
              <a:sp3d/>
            </c:spPr>
            <c:extLst>
              <c:ext xmlns:c16="http://schemas.microsoft.com/office/drawing/2014/chart" uri="{C3380CC4-5D6E-409C-BE32-E72D297353CC}">
                <c16:uniqueId val="{0000000F-3DC6-4915-8B71-C4F4EB3D1D99}"/>
              </c:ext>
            </c:extLst>
          </c:dPt>
          <c:dPt>
            <c:idx val="11"/>
            <c:bubble3D val="0"/>
            <c:spPr>
              <a:solidFill>
                <a:schemeClr val="accent5">
                  <a:lumMod val="80000"/>
                </a:schemeClr>
              </a:solidFill>
              <a:ln>
                <a:noFill/>
              </a:ln>
              <a:effectLst/>
              <a:sp3d/>
            </c:spPr>
            <c:extLst>
              <c:ext xmlns:c16="http://schemas.microsoft.com/office/drawing/2014/chart" uri="{C3380CC4-5D6E-409C-BE32-E72D297353CC}">
                <c16:uniqueId val="{00000017-0780-4C12-81DD-03A29E977295}"/>
              </c:ext>
            </c:extLst>
          </c:dPt>
          <c:dPt>
            <c:idx val="12"/>
            <c:bubble3D val="0"/>
            <c:spPr>
              <a:solidFill>
                <a:schemeClr val="accent1">
                  <a:lumMod val="60000"/>
                  <a:lumOff val="40000"/>
                </a:schemeClr>
              </a:solidFill>
              <a:ln>
                <a:noFill/>
              </a:ln>
              <a:effectLst/>
              <a:sp3d/>
            </c:spPr>
            <c:extLst>
              <c:ext xmlns:c16="http://schemas.microsoft.com/office/drawing/2014/chart" uri="{C3380CC4-5D6E-409C-BE32-E72D297353CC}">
                <c16:uniqueId val="{00000019-0780-4C12-81DD-03A29E977295}"/>
              </c:ext>
            </c:extLst>
          </c:dPt>
          <c:dLbls>
            <c:dLbl>
              <c:idx val="2"/>
              <c:layout>
                <c:manualLayout>
                  <c:x val="0"/>
                  <c:y val="-3.519061583577714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3DC6-4915-8B71-C4F4EB3D1D99}"/>
                </c:ext>
              </c:extLst>
            </c:dLbl>
            <c:spPr>
              <a:solidFill>
                <a:sysClr val="window" lastClr="FFFFFF"/>
              </a:solidFill>
              <a:ln>
                <a:solidFill>
                  <a:srgbClr val="4472C4"/>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ln>
                      <a:noFill/>
                    </a:ln>
                    <a:solidFill>
                      <a:schemeClr val="dk1"/>
                    </a:solidFill>
                    <a:latin typeface="Arial" panose="020B0604020202020204" pitchFamily="34" charset="0"/>
                    <a:ea typeface="+mn-ea"/>
                    <a:cs typeface="Arial" panose="020B0604020202020204" pitchFamily="34" charset="0"/>
                  </a:defRPr>
                </a:pPr>
                <a:endParaRPr lang="es-MX"/>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Hoja3!$A$2:$A$14</c:f>
              <c:strCache>
                <c:ptCount val="13"/>
                <c:pt idx="0">
                  <c:v>Animals</c:v>
                </c:pt>
                <c:pt idx="1">
                  <c:v>Antibiotics</c:v>
                </c:pt>
                <c:pt idx="2">
                  <c:v>Australian Veterinary Journal</c:v>
                </c:pt>
                <c:pt idx="3">
                  <c:v>BMC Veterinary Research</c:v>
                </c:pt>
                <c:pt idx="4">
                  <c:v>Frontiers in Veterinary Sciences</c:v>
                </c:pt>
                <c:pt idx="5">
                  <c:v>Journal of the South African Veterinary Association</c:v>
                </c:pt>
                <c:pt idx="6">
                  <c:v>PLoS One</c:v>
                </c:pt>
                <c:pt idx="7">
                  <c:v>Veterinary Dermatology</c:v>
                </c:pt>
                <c:pt idx="8">
                  <c:v>Veterinary Microbiology</c:v>
                </c:pt>
                <c:pt idx="9">
                  <c:v>Veterinary Practitioner</c:v>
                </c:pt>
                <c:pt idx="10">
                  <c:v>Veterinary Research Communications</c:v>
                </c:pt>
                <c:pt idx="11">
                  <c:v>Veterinary Science</c:v>
                </c:pt>
                <c:pt idx="12">
                  <c:v>Veterinary World</c:v>
                </c:pt>
              </c:strCache>
            </c:strRef>
          </c:cat>
          <c:val>
            <c:numRef>
              <c:f>Hoja3!$B$2:$B$14</c:f>
              <c:numCache>
                <c:formatCode>General</c:formatCode>
                <c:ptCount val="13"/>
                <c:pt idx="0">
                  <c:v>1</c:v>
                </c:pt>
                <c:pt idx="1">
                  <c:v>2</c:v>
                </c:pt>
                <c:pt idx="2">
                  <c:v>1</c:v>
                </c:pt>
                <c:pt idx="3">
                  <c:v>1</c:v>
                </c:pt>
                <c:pt idx="4">
                  <c:v>1</c:v>
                </c:pt>
                <c:pt idx="5">
                  <c:v>1</c:v>
                </c:pt>
                <c:pt idx="6">
                  <c:v>1</c:v>
                </c:pt>
                <c:pt idx="7">
                  <c:v>8</c:v>
                </c:pt>
                <c:pt idx="8">
                  <c:v>1</c:v>
                </c:pt>
                <c:pt idx="9">
                  <c:v>1</c:v>
                </c:pt>
                <c:pt idx="10">
                  <c:v>2</c:v>
                </c:pt>
                <c:pt idx="11">
                  <c:v>2</c:v>
                </c:pt>
                <c:pt idx="12">
                  <c:v>2</c:v>
                </c:pt>
              </c:numCache>
            </c:numRef>
          </c:val>
          <c:extLst>
            <c:ext xmlns:c16="http://schemas.microsoft.com/office/drawing/2014/chart" uri="{C3380CC4-5D6E-409C-BE32-E72D297353CC}">
              <c16:uniqueId val="{00000000-3DC6-4915-8B71-C4F4EB3D1D99}"/>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0" vert="wordArtVert" anchor="t" anchorCtr="0"/>
    <a:lstStyle/>
    <a:p>
      <a:pPr>
        <a:defRPr sz="800">
          <a:ln>
            <a:noFill/>
          </a:ln>
          <a:solidFill>
            <a:schemeClr val="dk1"/>
          </a:solidFill>
          <a:latin typeface="Arial" panose="020B0604020202020204" pitchFamily="34" charset="0"/>
          <a:cs typeface="Arial" panose="020B0604020202020204" pitchFamily="34" charset="0"/>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83333333333334E-2"/>
          <c:y val="0.13194444444444445"/>
          <c:w val="0.81388888888888888"/>
          <c:h val="0.77314814814814814"/>
        </c:manualLayout>
      </c:layout>
      <c:pie3DChart>
        <c:varyColors val="1"/>
        <c:ser>
          <c:idx val="0"/>
          <c:order val="0"/>
          <c:tx>
            <c:strRef>
              <c:f>Hoja3!$B$18</c:f>
              <c:strCache>
                <c:ptCount val="1"/>
                <c:pt idx="0">
                  <c:v>Frecuencia</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BDAB-4B16-9C94-B2CA86AEBC40}"/>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77B8-49C3-BB34-B57D8B858CE6}"/>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77B8-49C3-BB34-B57D8B858CE6}"/>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2-BDAB-4B16-9C94-B2CA86AEBC40}"/>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BDAB-4B16-9C94-B2CA86AEBC40}"/>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77B8-49C3-BB34-B57D8B858CE6}"/>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77B8-49C3-BB34-B57D8B858CE6}"/>
              </c:ext>
            </c:extLst>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77B8-49C3-BB34-B57D8B858CE6}"/>
              </c:ext>
            </c:extLst>
          </c:dPt>
          <c:dPt>
            <c:idx val="8"/>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77B8-49C3-BB34-B57D8B858CE6}"/>
              </c:ext>
            </c:extLst>
          </c:dPt>
          <c:dPt>
            <c:idx val="9"/>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77B8-49C3-BB34-B57D8B858CE6}"/>
              </c:ext>
            </c:extLst>
          </c:dPt>
          <c:dPt>
            <c:idx val="10"/>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77B8-49C3-BB34-B57D8B858CE6}"/>
              </c:ext>
            </c:extLst>
          </c:dPt>
          <c:dPt>
            <c:idx val="11"/>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4-BDAB-4B16-9C94-B2CA86AEBC40}"/>
              </c:ext>
            </c:extLst>
          </c:dPt>
          <c:dPt>
            <c:idx val="12"/>
            <c:bubble3D val="0"/>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77B8-49C3-BB34-B57D8B858CE6}"/>
              </c:ext>
            </c:extLst>
          </c:dPt>
          <c:dPt>
            <c:idx val="13"/>
            <c:bubble3D val="0"/>
            <c:spPr>
              <a:solidFill>
                <a:schemeClr val="accent2">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77B8-49C3-BB34-B57D8B858CE6}"/>
              </c:ext>
            </c:extLst>
          </c:dPt>
          <c:dPt>
            <c:idx val="14"/>
            <c:bubble3D val="0"/>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D-77B8-49C3-BB34-B57D8B858CE6}"/>
              </c:ext>
            </c:extLst>
          </c:dPt>
          <c:dLbls>
            <c:dLbl>
              <c:idx val="0"/>
              <c:layout>
                <c:manualLayout>
                  <c:x val="-3.4664187273954115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DAB-4B16-9C94-B2CA86AEBC40}"/>
                </c:ext>
              </c:extLst>
            </c:dLbl>
            <c:dLbl>
              <c:idx val="1"/>
              <c:tx>
                <c:rich>
                  <a:bodyPr/>
                  <a:lstStyle/>
                  <a:p>
                    <a:fld id="{99C6AD2F-E0C5-4D46-B427-73C28E2BD764}" type="CATEGORYNAME">
                      <a:rPr lang="en-US"/>
                      <a:pPr/>
                      <a:t>[NOMBRE DE CATEGORÍA]</a:t>
                    </a:fld>
                    <a:r>
                      <a:rPr lang="en-US" baseline="0"/>
                      <a:t>
8%</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7B8-49C3-BB34-B57D8B858CE6}"/>
                </c:ext>
              </c:extLst>
            </c:dLbl>
            <c:dLbl>
              <c:idx val="3"/>
              <c:layout>
                <c:manualLayout>
                  <c:x val="5.199628091093117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DAB-4B16-9C94-B2CA86AEBC40}"/>
                </c:ext>
              </c:extLst>
            </c:dLbl>
            <c:dLbl>
              <c:idx val="4"/>
              <c:layout>
                <c:manualLayout>
                  <c:x val="2.5363735138314591E-2"/>
                  <c:y val="4.62962962962962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DAB-4B16-9C94-B2CA86AEBC40}"/>
                </c:ext>
              </c:extLst>
            </c:dLbl>
            <c:dLbl>
              <c:idx val="11"/>
              <c:layout>
                <c:manualLayout>
                  <c:x val="-9.9040535068440558E-3"/>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DAB-4B16-9C94-B2CA86AEBC40}"/>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1"/>
                    </a:solidFill>
                    <a:latin typeface="Arial" panose="020B0604020202020204" pitchFamily="34" charset="0"/>
                    <a:ea typeface="+mn-ea"/>
                    <a:cs typeface="Arial" panose="020B0604020202020204" pitchFamily="34" charset="0"/>
                  </a:defRPr>
                </a:pPr>
                <a:endParaRPr lang="es-MX"/>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Hoja3!$A$19:$A$33</c:f>
              <c:strCache>
                <c:ptCount val="15"/>
                <c:pt idx="0">
                  <c:v>Australia</c:v>
                </c:pt>
                <c:pt idx="1">
                  <c:v>Brasil</c:v>
                </c:pt>
                <c:pt idx="2">
                  <c:v>Colombia</c:v>
                </c:pt>
                <c:pt idx="3">
                  <c:v>Dinamarca</c:v>
                </c:pt>
                <c:pt idx="4">
                  <c:v>Holanda</c:v>
                </c:pt>
                <c:pt idx="5">
                  <c:v>India</c:v>
                </c:pt>
                <c:pt idx="6">
                  <c:v>Irán</c:v>
                </c:pt>
                <c:pt idx="7">
                  <c:v>Italia</c:v>
                </c:pt>
                <c:pt idx="8">
                  <c:v>Japon</c:v>
                </c:pt>
                <c:pt idx="9">
                  <c:v>Korea del Sur</c:v>
                </c:pt>
                <c:pt idx="10">
                  <c:v>Portugal</c:v>
                </c:pt>
                <c:pt idx="11">
                  <c:v>Rumania</c:v>
                </c:pt>
                <c:pt idx="12">
                  <c:v>Sudafrica</c:v>
                </c:pt>
                <c:pt idx="13">
                  <c:v>Tailandia</c:v>
                </c:pt>
                <c:pt idx="14">
                  <c:v>USA</c:v>
                </c:pt>
              </c:strCache>
            </c:strRef>
          </c:cat>
          <c:val>
            <c:numRef>
              <c:f>Hoja3!$B$19:$B$33</c:f>
              <c:numCache>
                <c:formatCode>General</c:formatCode>
                <c:ptCount val="15"/>
                <c:pt idx="0">
                  <c:v>1</c:v>
                </c:pt>
                <c:pt idx="1">
                  <c:v>2</c:v>
                </c:pt>
                <c:pt idx="2">
                  <c:v>1</c:v>
                </c:pt>
                <c:pt idx="3">
                  <c:v>1</c:v>
                </c:pt>
                <c:pt idx="4">
                  <c:v>1</c:v>
                </c:pt>
                <c:pt idx="5">
                  <c:v>2</c:v>
                </c:pt>
                <c:pt idx="6">
                  <c:v>1</c:v>
                </c:pt>
                <c:pt idx="7">
                  <c:v>3</c:v>
                </c:pt>
                <c:pt idx="8">
                  <c:v>1</c:v>
                </c:pt>
                <c:pt idx="9">
                  <c:v>3</c:v>
                </c:pt>
                <c:pt idx="10">
                  <c:v>1</c:v>
                </c:pt>
                <c:pt idx="11">
                  <c:v>1</c:v>
                </c:pt>
                <c:pt idx="12">
                  <c:v>1</c:v>
                </c:pt>
                <c:pt idx="13">
                  <c:v>2</c:v>
                </c:pt>
                <c:pt idx="14">
                  <c:v>3</c:v>
                </c:pt>
              </c:numCache>
            </c:numRef>
          </c:val>
          <c:extLst>
            <c:ext xmlns:c16="http://schemas.microsoft.com/office/drawing/2014/chart" uri="{C3380CC4-5D6E-409C-BE32-E72D297353CC}">
              <c16:uniqueId val="{00000000-BDAB-4B16-9C94-B2CA86AEBC40}"/>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dk1"/>
          </a:solidFill>
          <a:latin typeface="Arial" panose="020B0604020202020204" pitchFamily="34" charset="0"/>
          <a:cs typeface="Arial" panose="020B0604020202020204" pitchFamily="34" charset="0"/>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Hoja3!$B$38</c:f>
              <c:strCache>
                <c:ptCount val="1"/>
                <c:pt idx="0">
                  <c:v>Frecuencia</c:v>
                </c:pt>
              </c:strCache>
            </c:strRef>
          </c:tx>
          <c:dPt>
            <c:idx val="0"/>
            <c:bubble3D val="0"/>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EDC5-4A46-9E84-FA5FECD7EEEF}"/>
              </c:ext>
            </c:extLst>
          </c:dPt>
          <c:dPt>
            <c:idx val="1"/>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B78E-4729-B15B-96889802EAA8}"/>
              </c:ext>
            </c:extLst>
          </c:dPt>
          <c:dLbls>
            <c:dLbl>
              <c:idx val="1"/>
              <c:layout>
                <c:manualLayout>
                  <c:x val="-1.9444335083114616E-2"/>
                  <c:y val="1.8226888305628463E-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4718853893263335"/>
                      <c:h val="0.28226706036745403"/>
                    </c:manualLayout>
                  </c15:layout>
                </c:ext>
                <c:ext xmlns:c16="http://schemas.microsoft.com/office/drawing/2014/chart" uri="{C3380CC4-5D6E-409C-BE32-E72D297353CC}">
                  <c16:uniqueId val="{00000001-B78E-4729-B15B-96889802EAA8}"/>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1"/>
                    </a:solidFill>
                    <a:latin typeface="Arial" panose="020B0604020202020204" pitchFamily="34" charset="0"/>
                    <a:ea typeface="+mn-ea"/>
                    <a:cs typeface="Arial" panose="020B0604020202020204" pitchFamily="34" charset="0"/>
                  </a:defRPr>
                </a:pPr>
                <a:endParaRPr lang="es-MX"/>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Hoja3!$A$39:$A$40</c:f>
              <c:strCache>
                <c:ptCount val="2"/>
                <c:pt idx="0">
                  <c:v>Lesiones de piel</c:v>
                </c:pt>
                <c:pt idx="1">
                  <c:v>Oido, boca, nariz, perineo e infecciones de la vejiga</c:v>
                </c:pt>
              </c:strCache>
            </c:strRef>
          </c:cat>
          <c:val>
            <c:numRef>
              <c:f>Hoja3!$B$39:$B$40</c:f>
              <c:numCache>
                <c:formatCode>General</c:formatCode>
                <c:ptCount val="2"/>
                <c:pt idx="0">
                  <c:v>21</c:v>
                </c:pt>
                <c:pt idx="1">
                  <c:v>3</c:v>
                </c:pt>
              </c:numCache>
            </c:numRef>
          </c:val>
          <c:extLst>
            <c:ext xmlns:c16="http://schemas.microsoft.com/office/drawing/2014/chart" uri="{C3380CC4-5D6E-409C-BE32-E72D297353CC}">
              <c16:uniqueId val="{00000000-B78E-4729-B15B-96889802EAA8}"/>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dk1"/>
          </a:solidFill>
          <a:latin typeface="Arial" panose="020B0604020202020204" pitchFamily="34" charset="0"/>
          <a:cs typeface="Arial" panose="020B0604020202020204" pitchFamily="34" charset="0"/>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Hoja3!$B$46</c:f>
              <c:strCache>
                <c:ptCount val="1"/>
                <c:pt idx="0">
                  <c:v>Frecuencia</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1F18-499D-B6F9-F8C0F69FF86F}"/>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4-1F18-499D-B6F9-F8C0F69FF86F}"/>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1F18-499D-B6F9-F8C0F69FF86F}"/>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6-1F18-499D-B6F9-F8C0F69FF86F}"/>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3-1F18-499D-B6F9-F8C0F69FF86F}"/>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7-1F18-499D-B6F9-F8C0F69FF86F}"/>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2-1F18-499D-B6F9-F8C0F69FF86F}"/>
              </c:ext>
            </c:extLst>
          </c:dPt>
          <c:dLbls>
            <c:dLbl>
              <c:idx val="0"/>
              <c:layout>
                <c:manualLayout>
                  <c:x val="-2.4278215223107297E-4"/>
                  <c:y val="-0.22253791192767572"/>
                </c:manualLayout>
              </c:layout>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effectLst/>
                      <a:latin typeface="Arial" panose="020B0604020202020204" pitchFamily="34" charset="0"/>
                      <a:ea typeface="+mn-ea"/>
                      <a:cs typeface="Arial" panose="020B0604020202020204" pitchFamily="34" charset="0"/>
                    </a:defRPr>
                  </a:pPr>
                  <a:endParaRPr lang="es-MX"/>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15:layout>
                    <c:manualLayout>
                      <c:w val="0.34111636045494315"/>
                      <c:h val="0.20819298629337998"/>
                    </c:manualLayout>
                  </c15:layout>
                </c:ext>
                <c:ext xmlns:c16="http://schemas.microsoft.com/office/drawing/2014/chart" uri="{C3380CC4-5D6E-409C-BE32-E72D297353CC}">
                  <c16:uniqueId val="{00000001-1F18-499D-B6F9-F8C0F69FF86F}"/>
                </c:ext>
              </c:extLst>
            </c:dLbl>
            <c:dLbl>
              <c:idx val="1"/>
              <c:layout>
                <c:manualLayout>
                  <c:x val="0.10558420822397201"/>
                  <c:y val="-2.8175488480606595E-2"/>
                </c:manualLayout>
              </c:layout>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effectLst/>
                      <a:latin typeface="Arial" panose="020B0604020202020204" pitchFamily="34" charset="0"/>
                      <a:ea typeface="+mn-ea"/>
                      <a:cs typeface="Arial" panose="020B0604020202020204" pitchFamily="34" charset="0"/>
                    </a:defRPr>
                  </a:pPr>
                  <a:endParaRPr lang="es-MX"/>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15:layout>
                    <c:manualLayout>
                      <c:w val="0.21626246719160105"/>
                      <c:h val="0.14696777486147564"/>
                    </c:manualLayout>
                  </c15:layout>
                </c:ext>
                <c:ext xmlns:c16="http://schemas.microsoft.com/office/drawing/2014/chart" uri="{C3380CC4-5D6E-409C-BE32-E72D297353CC}">
                  <c16:uniqueId val="{00000004-1F18-499D-B6F9-F8C0F69FF86F}"/>
                </c:ext>
              </c:extLst>
            </c:dLbl>
            <c:dLbl>
              <c:idx val="2"/>
              <c:layout>
                <c:manualLayout>
                  <c:x val="4.9647200349956205E-2"/>
                  <c:y val="-3.7434747739865853E-2"/>
                </c:manualLayout>
              </c:layout>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effectLst/>
                      <a:latin typeface="Arial" panose="020B0604020202020204" pitchFamily="34" charset="0"/>
                      <a:ea typeface="+mn-ea"/>
                      <a:cs typeface="Arial" panose="020B0604020202020204" pitchFamily="34" charset="0"/>
                    </a:defRPr>
                  </a:pPr>
                  <a:endParaRPr lang="es-MX"/>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5-1F18-499D-B6F9-F8C0F69FF86F}"/>
                </c:ext>
              </c:extLst>
            </c:dLbl>
            <c:dLbl>
              <c:idx val="3"/>
              <c:layout>
                <c:manualLayout>
                  <c:x val="-2.4348206474190726E-2"/>
                  <c:y val="-2.5624999999999998E-2"/>
                </c:manualLayout>
              </c:layout>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effectLst/>
                      <a:latin typeface="Arial" panose="020B0604020202020204" pitchFamily="34" charset="0"/>
                      <a:ea typeface="+mn-ea"/>
                      <a:cs typeface="Arial" panose="020B0604020202020204" pitchFamily="34" charset="0"/>
                    </a:defRPr>
                  </a:pPr>
                  <a:endParaRPr lang="es-MX"/>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15:layout>
                    <c:manualLayout>
                      <c:w val="0.23399890638670165"/>
                      <c:h val="0.17758019830854471"/>
                    </c:manualLayout>
                  </c15:layout>
                </c:ext>
                <c:ext xmlns:c16="http://schemas.microsoft.com/office/drawing/2014/chart" uri="{C3380CC4-5D6E-409C-BE32-E72D297353CC}">
                  <c16:uniqueId val="{00000006-1F18-499D-B6F9-F8C0F69FF86F}"/>
                </c:ext>
              </c:extLst>
            </c:dLbl>
            <c:dLbl>
              <c:idx val="4"/>
              <c:layout>
                <c:manualLayout>
                  <c:x val="-3.309820647419074E-2"/>
                  <c:y val="-0.21312445319335083"/>
                </c:manualLayout>
              </c:layout>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effectLst/>
                      <a:latin typeface="Arial" panose="020B0604020202020204" pitchFamily="34" charset="0"/>
                      <a:ea typeface="+mn-ea"/>
                      <a:cs typeface="Arial" panose="020B0604020202020204" pitchFamily="34" charset="0"/>
                    </a:defRPr>
                  </a:pPr>
                  <a:endParaRPr lang="es-MX"/>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3-1F18-499D-B6F9-F8C0F69FF86F}"/>
                </c:ext>
              </c:extLst>
            </c:dLbl>
            <c:dLbl>
              <c:idx val="5"/>
              <c:layout>
                <c:manualLayout>
                  <c:x val="1.6005905511811018E-2"/>
                  <c:y val="-5.222076407115777E-2"/>
                </c:manualLayout>
              </c:layout>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effectLst/>
                      <a:latin typeface="Arial" panose="020B0604020202020204" pitchFamily="34" charset="0"/>
                      <a:ea typeface="+mn-ea"/>
                      <a:cs typeface="Arial" panose="020B0604020202020204" pitchFamily="34" charset="0"/>
                    </a:defRPr>
                  </a:pPr>
                  <a:endParaRPr lang="es-MX"/>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7-1F18-499D-B6F9-F8C0F69FF86F}"/>
                </c:ext>
              </c:extLst>
            </c:dLbl>
            <c:dLbl>
              <c:idx val="6"/>
              <c:layout>
                <c:manualLayout>
                  <c:x val="-8.551662292213473E-2"/>
                  <c:y val="1.8226888305628463E-7"/>
                </c:manualLayout>
              </c:layout>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1"/>
                      </a:solidFill>
                      <a:effectLst/>
                      <a:latin typeface="Arial" panose="020B0604020202020204" pitchFamily="34" charset="0"/>
                      <a:ea typeface="+mn-ea"/>
                      <a:cs typeface="Arial" panose="020B0604020202020204" pitchFamily="34" charset="0"/>
                    </a:defRPr>
                  </a:pPr>
                  <a:endParaRPr lang="es-MX"/>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15:layout>
                    <c:manualLayout>
                      <c:w val="0.24283311461067367"/>
                      <c:h val="0.14233814523184599"/>
                    </c:manualLayout>
                  </c15:layout>
                </c:ext>
                <c:ext xmlns:c16="http://schemas.microsoft.com/office/drawing/2014/chart" uri="{C3380CC4-5D6E-409C-BE32-E72D297353CC}">
                  <c16:uniqueId val="{00000002-1F18-499D-B6F9-F8C0F69FF86F}"/>
                </c:ext>
              </c:extLst>
            </c:dLbl>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s>
          <c:cat>
            <c:strRef>
              <c:f>Hoja3!$A$47:$A$53</c:f>
              <c:strCache>
                <c:ptCount val="7"/>
                <c:pt idx="0">
                  <c:v>Agar Colombia con 5% de sangre de ovino</c:v>
                </c:pt>
                <c:pt idx="1">
                  <c:v>Agar sal manitol</c:v>
                </c:pt>
                <c:pt idx="2">
                  <c:v>Agar Sangre</c:v>
                </c:pt>
                <c:pt idx="3">
                  <c:v>Caldo de triptona soja o agar</c:v>
                </c:pt>
                <c:pt idx="4">
                  <c:v>Müller-Hinton</c:v>
                </c:pt>
                <c:pt idx="5">
                  <c:v>No especifica</c:v>
                </c:pt>
                <c:pt idx="6">
                  <c:v>VITEK 2 System</c:v>
                </c:pt>
              </c:strCache>
            </c:strRef>
          </c:cat>
          <c:val>
            <c:numRef>
              <c:f>Hoja3!$B$47:$B$53</c:f>
              <c:numCache>
                <c:formatCode>General</c:formatCode>
                <c:ptCount val="7"/>
                <c:pt idx="0">
                  <c:v>11</c:v>
                </c:pt>
                <c:pt idx="1">
                  <c:v>1</c:v>
                </c:pt>
                <c:pt idx="2">
                  <c:v>1</c:v>
                </c:pt>
                <c:pt idx="3">
                  <c:v>1</c:v>
                </c:pt>
                <c:pt idx="4">
                  <c:v>2</c:v>
                </c:pt>
                <c:pt idx="5">
                  <c:v>7</c:v>
                </c:pt>
                <c:pt idx="6">
                  <c:v>1</c:v>
                </c:pt>
              </c:numCache>
            </c:numRef>
          </c:val>
          <c:extLst>
            <c:ext xmlns:c16="http://schemas.microsoft.com/office/drawing/2014/chart" uri="{C3380CC4-5D6E-409C-BE32-E72D297353CC}">
              <c16:uniqueId val="{00000000-1F18-499D-B6F9-F8C0F69FF86F}"/>
            </c:ext>
          </c:extLst>
        </c:ser>
        <c:dLbls>
          <c:dLblPos val="in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888888888888889E-3"/>
          <c:y val="6.1530283398118649E-4"/>
          <c:w val="0.81388888888888888"/>
          <c:h val="0.75123071641361283"/>
        </c:manualLayout>
      </c:layout>
      <c:pie3DChart>
        <c:varyColors val="1"/>
        <c:ser>
          <c:idx val="0"/>
          <c:order val="0"/>
          <c:tx>
            <c:strRef>
              <c:f>Hoja3!$B$63</c:f>
              <c:strCache>
                <c:ptCount val="1"/>
                <c:pt idx="0">
                  <c:v>Frecuencia</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87C1-4014-A9F5-07CE04E82126}"/>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3-87C1-4014-A9F5-07CE04E82126}"/>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05-87C1-4014-A9F5-07CE04E82126}"/>
              </c:ext>
            </c:extLst>
          </c:dPt>
          <c:dPt>
            <c:idx val="3"/>
            <c:bubble3D val="0"/>
            <c:spPr>
              <a:solidFill>
                <a:schemeClr val="accent4"/>
              </a:solidFill>
              <a:ln w="19050">
                <a:solidFill>
                  <a:schemeClr val="lt1"/>
                </a:solidFill>
              </a:ln>
              <a:effectLst/>
              <a:sp3d contourW="19050">
                <a:contourClr>
                  <a:schemeClr val="lt1"/>
                </a:contourClr>
              </a:sp3d>
            </c:spPr>
            <c:extLst>
              <c:ext xmlns:c16="http://schemas.microsoft.com/office/drawing/2014/chart" uri="{C3380CC4-5D6E-409C-BE32-E72D297353CC}">
                <c16:uniqueId val="{00000007-87C1-4014-A9F5-07CE04E82126}"/>
              </c:ext>
            </c:extLst>
          </c:dPt>
          <c:dPt>
            <c:idx val="4"/>
            <c:bubble3D val="0"/>
            <c:spPr>
              <a:solidFill>
                <a:schemeClr val="accent5"/>
              </a:solidFill>
              <a:ln w="19050">
                <a:solidFill>
                  <a:schemeClr val="lt1"/>
                </a:solidFill>
              </a:ln>
              <a:effectLst/>
              <a:sp3d contourW="19050">
                <a:contourClr>
                  <a:schemeClr val="lt1"/>
                </a:contourClr>
              </a:sp3d>
            </c:spPr>
            <c:extLst>
              <c:ext xmlns:c16="http://schemas.microsoft.com/office/drawing/2014/chart" uri="{C3380CC4-5D6E-409C-BE32-E72D297353CC}">
                <c16:uniqueId val="{00000009-87C1-4014-A9F5-07CE04E82126}"/>
              </c:ext>
            </c:extLst>
          </c:dPt>
          <c:dPt>
            <c:idx val="5"/>
            <c:bubble3D val="0"/>
            <c:spPr>
              <a:solidFill>
                <a:schemeClr val="accent6"/>
              </a:solidFill>
              <a:ln w="19050">
                <a:solidFill>
                  <a:schemeClr val="lt1"/>
                </a:solidFill>
              </a:ln>
              <a:effectLst/>
              <a:sp3d contourW="19050">
                <a:contourClr>
                  <a:schemeClr val="lt1"/>
                </a:contourClr>
              </a:sp3d>
            </c:spPr>
            <c:extLst>
              <c:ext xmlns:c16="http://schemas.microsoft.com/office/drawing/2014/chart" uri="{C3380CC4-5D6E-409C-BE32-E72D297353CC}">
                <c16:uniqueId val="{0000000B-87C1-4014-A9F5-07CE04E82126}"/>
              </c:ext>
            </c:extLst>
          </c:dPt>
          <c:dPt>
            <c:idx val="6"/>
            <c:bubble3D val="0"/>
            <c:spPr>
              <a:solidFill>
                <a:schemeClr val="accent1">
                  <a:lumMod val="60000"/>
                </a:schemeClr>
              </a:solidFill>
              <a:ln w="19050">
                <a:solidFill>
                  <a:schemeClr val="lt1"/>
                </a:solidFill>
              </a:ln>
              <a:effectLst/>
              <a:sp3d contourW="19050">
                <a:contourClr>
                  <a:schemeClr val="lt1"/>
                </a:contourClr>
              </a:sp3d>
            </c:spPr>
            <c:extLst>
              <c:ext xmlns:c16="http://schemas.microsoft.com/office/drawing/2014/chart" uri="{C3380CC4-5D6E-409C-BE32-E72D297353CC}">
                <c16:uniqueId val="{0000000D-87C1-4014-A9F5-07CE04E82126}"/>
              </c:ext>
            </c:extLst>
          </c:dPt>
          <c:dPt>
            <c:idx val="7"/>
            <c:bubble3D val="0"/>
            <c:spPr>
              <a:solidFill>
                <a:schemeClr val="accent2">
                  <a:lumMod val="60000"/>
                </a:schemeClr>
              </a:solidFill>
              <a:ln w="19050">
                <a:solidFill>
                  <a:schemeClr val="lt1"/>
                </a:solidFill>
              </a:ln>
              <a:effectLst/>
              <a:sp3d contourW="19050">
                <a:contourClr>
                  <a:schemeClr val="lt1"/>
                </a:contourClr>
              </a:sp3d>
            </c:spPr>
            <c:extLst>
              <c:ext xmlns:c16="http://schemas.microsoft.com/office/drawing/2014/chart" uri="{C3380CC4-5D6E-409C-BE32-E72D297353CC}">
                <c16:uniqueId val="{0000000F-87C1-4014-A9F5-07CE04E82126}"/>
              </c:ext>
            </c:extLst>
          </c:dPt>
          <c:dPt>
            <c:idx val="8"/>
            <c:bubble3D val="0"/>
            <c:spPr>
              <a:solidFill>
                <a:schemeClr val="accent3">
                  <a:lumMod val="60000"/>
                </a:schemeClr>
              </a:solidFill>
              <a:ln w="19050">
                <a:solidFill>
                  <a:schemeClr val="lt1"/>
                </a:solidFill>
              </a:ln>
              <a:effectLst/>
              <a:sp3d contourW="19050">
                <a:contourClr>
                  <a:schemeClr val="lt1"/>
                </a:contourClr>
              </a:sp3d>
            </c:spPr>
            <c:extLst>
              <c:ext xmlns:c16="http://schemas.microsoft.com/office/drawing/2014/chart" uri="{C3380CC4-5D6E-409C-BE32-E72D297353CC}">
                <c16:uniqueId val="{00000011-87C1-4014-A9F5-07CE04E82126}"/>
              </c:ext>
            </c:extLst>
          </c:dPt>
          <c:dLbls>
            <c:dLbl>
              <c:idx val="0"/>
              <c:layout>
                <c:manualLayout>
                  <c:x val="7.5000109361329836E-2"/>
                  <c:y val="5.6258790436005627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7731846019247591"/>
                      <c:h val="0.14203218268602502"/>
                    </c:manualLayout>
                  </c15:layout>
                </c:ext>
                <c:ext xmlns:c16="http://schemas.microsoft.com/office/drawing/2014/chart" uri="{C3380CC4-5D6E-409C-BE32-E72D297353CC}">
                  <c16:uniqueId val="{00000001-87C1-4014-A9F5-07CE04E82126}"/>
                </c:ext>
              </c:extLst>
            </c:dLbl>
            <c:dLbl>
              <c:idx val="1"/>
              <c:layout>
                <c:manualLayout>
                  <c:x val="1.3888998250218722E-2"/>
                  <c:y val="3.375527426160337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2475874890638667"/>
                      <c:h val="0.16453569886042727"/>
                    </c:manualLayout>
                  </c15:layout>
                </c:ext>
                <c:ext xmlns:c16="http://schemas.microsoft.com/office/drawing/2014/chart" uri="{C3380CC4-5D6E-409C-BE32-E72D297353CC}">
                  <c16:uniqueId val="{00000003-87C1-4014-A9F5-07CE04E82126}"/>
                </c:ext>
              </c:extLst>
            </c:dLbl>
            <c:dLbl>
              <c:idx val="2"/>
              <c:layout>
                <c:manualLayout>
                  <c:x val="1.9444553805774176E-2"/>
                  <c:y val="1.687785862210256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7332808398950126"/>
                      <c:h val="0.1532839407732261"/>
                    </c:manualLayout>
                  </c15:layout>
                </c:ext>
                <c:ext xmlns:c16="http://schemas.microsoft.com/office/drawing/2014/chart" uri="{C3380CC4-5D6E-409C-BE32-E72D297353CC}">
                  <c16:uniqueId val="{00000005-87C1-4014-A9F5-07CE04E82126}"/>
                </c:ext>
              </c:extLst>
            </c:dLbl>
            <c:dLbl>
              <c:idx val="3"/>
              <c:layout>
                <c:manualLayout>
                  <c:x val="1.3888888888888888E-2"/>
                  <c:y val="9.5639943741209557E-2"/>
                </c:manualLayout>
              </c:layout>
              <c:tx>
                <c:rich>
                  <a:bodyPr/>
                  <a:lstStyle/>
                  <a:p>
                    <a:fld id="{BB877D47-F0A6-41F5-8E30-36E3E9B3C510}" type="CATEGORYNAME">
                      <a:rPr lang="en-US" i="0"/>
                      <a:pPr/>
                      <a:t>[NOMBRE DE CATEGORÍA]</a:t>
                    </a:fld>
                    <a:r>
                      <a:rPr lang="en-US" baseline="0"/>
                      <a:t>
</a:t>
                    </a:r>
                    <a:fld id="{27196870-A24E-44F0-81E2-F1288322D650}" type="PERCENTAGE">
                      <a:rPr lang="en-US" baseline="0"/>
                      <a:pPr/>
                      <a:t>[PORCENTAJE]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25129680664916887"/>
                      <c:h val="0.1589098198168267"/>
                    </c:manualLayout>
                  </c15:layout>
                  <c15:dlblFieldTable/>
                  <c15:showDataLabelsRange val="0"/>
                </c:ext>
                <c:ext xmlns:c16="http://schemas.microsoft.com/office/drawing/2014/chart" uri="{C3380CC4-5D6E-409C-BE32-E72D297353CC}">
                  <c16:uniqueId val="{00000007-87C1-4014-A9F5-07CE04E82126}"/>
                </c:ext>
              </c:extLst>
            </c:dLbl>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Hoja3!$A$64:$A$67</c:f>
              <c:strCache>
                <c:ptCount val="4"/>
                <c:pt idx="0">
                  <c:v>Burkholderia cepacia</c:v>
                </c:pt>
                <c:pt idx="1">
                  <c:v>Pseudomonas aeruginosa</c:v>
                </c:pt>
                <c:pt idx="2">
                  <c:v>Streptococcus canis</c:v>
                </c:pt>
                <c:pt idx="3">
                  <c:v>Staphylococcus sp.</c:v>
                </c:pt>
              </c:strCache>
            </c:strRef>
          </c:cat>
          <c:val>
            <c:numRef>
              <c:f>Hoja3!$B$64:$B$67</c:f>
              <c:numCache>
                <c:formatCode>General</c:formatCode>
                <c:ptCount val="4"/>
                <c:pt idx="0">
                  <c:v>2</c:v>
                </c:pt>
                <c:pt idx="1">
                  <c:v>3</c:v>
                </c:pt>
                <c:pt idx="2">
                  <c:v>2</c:v>
                </c:pt>
                <c:pt idx="3">
                  <c:v>17</c:v>
                </c:pt>
              </c:numCache>
            </c:numRef>
          </c:val>
          <c:extLst>
            <c:ext xmlns:c16="http://schemas.microsoft.com/office/drawing/2014/chart" uri="{C3380CC4-5D6E-409C-BE32-E72D297353CC}">
              <c16:uniqueId val="{00000000-5447-485B-878E-9B6E43A5D39F}"/>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Hoja3!$A$68:$A$71</c:f>
              <c:strCache>
                <c:ptCount val="4"/>
                <c:pt idx="0">
                  <c:v>Staphylococcus aureus</c:v>
                </c:pt>
                <c:pt idx="1">
                  <c:v>Staphylococcus coagulans</c:v>
                </c:pt>
                <c:pt idx="2">
                  <c:v>Staphylococcus pseudintermedius</c:v>
                </c:pt>
                <c:pt idx="3">
                  <c:v>Staphylococcus resistente a la penicilina</c:v>
                </c:pt>
              </c:strCache>
            </c:strRef>
          </c:cat>
          <c:val>
            <c:numRef>
              <c:f>Hoja3!$B$68:$B$71</c:f>
              <c:numCache>
                <c:formatCode>General</c:formatCode>
                <c:ptCount val="4"/>
                <c:pt idx="0">
                  <c:v>1</c:v>
                </c:pt>
                <c:pt idx="1">
                  <c:v>1</c:v>
                </c:pt>
                <c:pt idx="2">
                  <c:v>14</c:v>
                </c:pt>
                <c:pt idx="3">
                  <c:v>1</c:v>
                </c:pt>
              </c:numCache>
            </c:numRef>
          </c:val>
          <c:extLst>
            <c:ext xmlns:c16="http://schemas.microsoft.com/office/drawing/2014/chart" uri="{C3380CC4-5D6E-409C-BE32-E72D297353CC}">
              <c16:uniqueId val="{00000000-5661-4107-8173-83C63346540A}"/>
            </c:ext>
          </c:extLst>
        </c:ser>
        <c:dLbls>
          <c:showLegendKey val="0"/>
          <c:showVal val="0"/>
          <c:showCatName val="0"/>
          <c:showSerName val="0"/>
          <c:showPercent val="0"/>
          <c:showBubbleSize val="0"/>
        </c:dLbls>
        <c:gapWidth val="115"/>
        <c:overlap val="-20"/>
        <c:axId val="1486165744"/>
        <c:axId val="1486167184"/>
      </c:barChart>
      <c:catAx>
        <c:axId val="1486165744"/>
        <c:scaling>
          <c:orientation val="minMax"/>
        </c:scaling>
        <c:delete val="0"/>
        <c:axPos val="l"/>
        <c:title>
          <c:tx>
            <c:rich>
              <a:bodyPr rot="-5400000" spcFirstLastPara="1" vertOverflow="ellipsis" vert="horz" wrap="square" anchor="ctr" anchorCtr="1"/>
              <a:lstStyle/>
              <a:p>
                <a:pPr>
                  <a:defRPr sz="1000" b="0" i="0" u="none" strike="noStrike" kern="1200" baseline="0">
                    <a:ln>
                      <a:noFill/>
                    </a:ln>
                    <a:solidFill>
                      <a:schemeClr val="tx2"/>
                    </a:solidFill>
                    <a:latin typeface="Arial" panose="020B0604020202020204" pitchFamily="34" charset="0"/>
                    <a:ea typeface="+mn-ea"/>
                    <a:cs typeface="Arial" panose="020B0604020202020204" pitchFamily="34" charset="0"/>
                  </a:defRPr>
                </a:pPr>
                <a:r>
                  <a:rPr lang="es-MX"/>
                  <a:t>Bacteria</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2"/>
                  </a:solidFill>
                  <a:latin typeface="Arial" panose="020B0604020202020204" pitchFamily="34" charset="0"/>
                  <a:ea typeface="+mn-ea"/>
                  <a:cs typeface="Arial" panose="020B0604020202020204" pitchFamily="34" charset="0"/>
                </a:defRPr>
              </a:pPr>
              <a:endParaRPr lang="es-MX"/>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ln>
                  <a:noFill/>
                </a:ln>
                <a:solidFill>
                  <a:schemeClr val="tx2"/>
                </a:solidFill>
                <a:latin typeface="Arial" panose="020B0604020202020204" pitchFamily="34" charset="0"/>
                <a:ea typeface="+mn-ea"/>
                <a:cs typeface="Arial" panose="020B0604020202020204" pitchFamily="34" charset="0"/>
              </a:defRPr>
            </a:pPr>
            <a:endParaRPr lang="es-MX"/>
          </a:p>
        </c:txPr>
        <c:crossAx val="1486167184"/>
        <c:crosses val="autoZero"/>
        <c:auto val="1"/>
        <c:lblAlgn val="ctr"/>
        <c:lblOffset val="100"/>
        <c:noMultiLvlLbl val="0"/>
      </c:catAx>
      <c:valAx>
        <c:axId val="14861671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ln>
                      <a:noFill/>
                    </a:ln>
                    <a:solidFill>
                      <a:schemeClr val="tx2"/>
                    </a:solidFill>
                    <a:latin typeface="Arial" panose="020B0604020202020204" pitchFamily="34" charset="0"/>
                    <a:ea typeface="+mn-ea"/>
                    <a:cs typeface="Arial" panose="020B0604020202020204" pitchFamily="34" charset="0"/>
                  </a:defRPr>
                </a:pPr>
                <a:r>
                  <a:rPr lang="es-MX"/>
                  <a:t>Frecuencia</a:t>
                </a:r>
              </a:p>
            </c:rich>
          </c:tx>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2"/>
                  </a:solidFill>
                  <a:latin typeface="Arial" panose="020B0604020202020204" pitchFamily="34" charset="0"/>
                  <a:ea typeface="+mn-ea"/>
                  <a:cs typeface="Arial" panose="020B0604020202020204" pitchFamily="34" charset="0"/>
                </a:defRPr>
              </a:pPr>
              <a:endParaRPr lang="es-MX"/>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ln>
                  <a:noFill/>
                </a:ln>
                <a:solidFill>
                  <a:schemeClr val="tx2"/>
                </a:solidFill>
                <a:latin typeface="Arial" panose="020B0604020202020204" pitchFamily="34" charset="0"/>
                <a:ea typeface="+mn-ea"/>
                <a:cs typeface="Arial" panose="020B0604020202020204" pitchFamily="34" charset="0"/>
              </a:defRPr>
            </a:pPr>
            <a:endParaRPr lang="es-MX"/>
          </a:p>
        </c:txPr>
        <c:crossAx val="148616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1000">
          <a:ln>
            <a:noFill/>
          </a:ln>
          <a:solidFill>
            <a:schemeClr val="tx2"/>
          </a:solidFill>
          <a:latin typeface="Arial" panose="020B0604020202020204" pitchFamily="34" charset="0"/>
          <a:cs typeface="Arial" panose="020B0604020202020204" pitchFamily="34" charset="0"/>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Hoja3!$B$85</c:f>
              <c:strCache>
                <c:ptCount val="1"/>
                <c:pt idx="0">
                  <c:v>Frecuencia</c:v>
                </c:pt>
              </c:strCache>
            </c:strRef>
          </c:tx>
          <c:spPr>
            <a:solidFill>
              <a:schemeClr val="accent1"/>
            </a:solidFill>
            <a:ln>
              <a:noFill/>
            </a:ln>
            <a:effectLst/>
          </c:spPr>
          <c:invertIfNegative val="0"/>
          <c:cat>
            <c:strRef>
              <c:f>Hoja3!$A$86:$A$97</c:f>
              <c:strCache>
                <c:ptCount val="12"/>
                <c:pt idx="0">
                  <c:v>Ac. Fusidico</c:v>
                </c:pt>
                <c:pt idx="1">
                  <c:v>Ampicilina</c:v>
                </c:pt>
                <c:pt idx="2">
                  <c:v>Ceftazidima</c:v>
                </c:pt>
                <c:pt idx="3">
                  <c:v>Clindamicina</c:v>
                </c:pt>
                <c:pt idx="4">
                  <c:v>Clotrimazol</c:v>
                </c:pt>
                <c:pt idx="5">
                  <c:v>Doxiciclina</c:v>
                </c:pt>
                <c:pt idx="6">
                  <c:v>Enrofloxacina</c:v>
                </c:pt>
                <c:pt idx="7">
                  <c:v>No especifica</c:v>
                </c:pt>
                <c:pt idx="8">
                  <c:v>Penicilina</c:v>
                </c:pt>
                <c:pt idx="9">
                  <c:v>Polimixin-B</c:v>
                </c:pt>
                <c:pt idx="10">
                  <c:v>Ticarcilina</c:v>
                </c:pt>
                <c:pt idx="11">
                  <c:v>Vancomicina</c:v>
                </c:pt>
              </c:strCache>
            </c:strRef>
          </c:cat>
          <c:val>
            <c:numRef>
              <c:f>Hoja3!$B$86:$B$97</c:f>
              <c:numCache>
                <c:formatCode>General</c:formatCode>
                <c:ptCount val="12"/>
                <c:pt idx="0">
                  <c:v>1</c:v>
                </c:pt>
                <c:pt idx="1">
                  <c:v>3</c:v>
                </c:pt>
                <c:pt idx="2">
                  <c:v>1</c:v>
                </c:pt>
                <c:pt idx="3">
                  <c:v>2</c:v>
                </c:pt>
                <c:pt idx="4">
                  <c:v>1</c:v>
                </c:pt>
                <c:pt idx="5">
                  <c:v>1</c:v>
                </c:pt>
                <c:pt idx="6">
                  <c:v>1</c:v>
                </c:pt>
                <c:pt idx="7">
                  <c:v>4</c:v>
                </c:pt>
                <c:pt idx="8">
                  <c:v>7</c:v>
                </c:pt>
                <c:pt idx="9">
                  <c:v>1</c:v>
                </c:pt>
                <c:pt idx="10">
                  <c:v>1</c:v>
                </c:pt>
                <c:pt idx="11">
                  <c:v>1</c:v>
                </c:pt>
              </c:numCache>
            </c:numRef>
          </c:val>
          <c:extLst>
            <c:ext xmlns:c16="http://schemas.microsoft.com/office/drawing/2014/chart" uri="{C3380CC4-5D6E-409C-BE32-E72D297353CC}">
              <c16:uniqueId val="{00000000-A23C-4C64-BED9-3583042B9F7F}"/>
            </c:ext>
          </c:extLst>
        </c:ser>
        <c:dLbls>
          <c:showLegendKey val="0"/>
          <c:showVal val="0"/>
          <c:showCatName val="0"/>
          <c:showSerName val="0"/>
          <c:showPercent val="0"/>
          <c:showBubbleSize val="0"/>
        </c:dLbls>
        <c:gapWidth val="219"/>
        <c:overlap val="-27"/>
        <c:axId val="1486170064"/>
        <c:axId val="1486164304"/>
      </c:barChart>
      <c:catAx>
        <c:axId val="148617006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r>
                  <a:rPr lang="es-MX"/>
                  <a:t>Antibiótico</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crossAx val="1486164304"/>
        <c:crosses val="autoZero"/>
        <c:auto val="1"/>
        <c:lblAlgn val="ctr"/>
        <c:lblOffset val="100"/>
        <c:noMultiLvlLbl val="0"/>
      </c:catAx>
      <c:valAx>
        <c:axId val="1486164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r>
                  <a:rPr lang="es-MX"/>
                  <a:t>Frecuencia</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crossAx val="148617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solidFill>
            <a:schemeClr val="tx1"/>
          </a:solidFill>
          <a:latin typeface="Arial" panose="020B0604020202020204" pitchFamily="34" charset="0"/>
          <a:cs typeface="Arial" panose="020B0604020202020204" pitchFamily="34" charset="0"/>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Hoja3!$B$103</c:f>
              <c:strCache>
                <c:ptCount val="1"/>
                <c:pt idx="0">
                  <c:v>Frecuencia</c:v>
                </c:pt>
              </c:strCache>
            </c:strRef>
          </c:tx>
          <c:spPr>
            <a:solidFill>
              <a:schemeClr val="accent1"/>
            </a:solidFill>
            <a:ln>
              <a:noFill/>
            </a:ln>
            <a:effectLst/>
          </c:spPr>
          <c:invertIfNegative val="0"/>
          <c:cat>
            <c:strRef>
              <c:f>Hoja3!$A$104:$A$121</c:f>
              <c:strCache>
                <c:ptCount val="18"/>
                <c:pt idx="0">
                  <c:v>Vancomicina y Linezolida</c:v>
                </c:pt>
                <c:pt idx="1">
                  <c:v>Amikacina</c:v>
                </c:pt>
                <c:pt idx="2">
                  <c:v>Amoxiciina+Ac. Clavulánico</c:v>
                </c:pt>
                <c:pt idx="3">
                  <c:v>Ceftazidima</c:v>
                </c:pt>
                <c:pt idx="4">
                  <c:v>Cloramfenicol</c:v>
                </c:pt>
                <c:pt idx="5">
                  <c:v>Fluoroquinolonas</c:v>
                </c:pt>
                <c:pt idx="6">
                  <c:v>Gentamicina</c:v>
                </c:pt>
                <c:pt idx="7">
                  <c:v>Imipenem</c:v>
                </c:pt>
                <c:pt idx="8">
                  <c:v>Lincosamidas</c:v>
                </c:pt>
                <c:pt idx="9">
                  <c:v>Mupirocina</c:v>
                </c:pt>
                <c:pt idx="10">
                  <c:v>Nitrofurantoina</c:v>
                </c:pt>
                <c:pt idx="11">
                  <c:v>No especifica</c:v>
                </c:pt>
                <c:pt idx="12">
                  <c:v>P128</c:v>
                </c:pt>
                <c:pt idx="13">
                  <c:v>Piperacilina-tazobactam</c:v>
                </c:pt>
                <c:pt idx="14">
                  <c:v>Rifampicina</c:v>
                </c:pt>
                <c:pt idx="15">
                  <c:v>Tetraciclinas</c:v>
                </c:pt>
                <c:pt idx="16">
                  <c:v>Tobramicina</c:v>
                </c:pt>
                <c:pt idx="17">
                  <c:v>Trimetoprima/sulfonamidas</c:v>
                </c:pt>
              </c:strCache>
            </c:strRef>
          </c:cat>
          <c:val>
            <c:numRef>
              <c:f>Hoja3!$B$104:$B$121</c:f>
              <c:numCache>
                <c:formatCode>General</c:formatCode>
                <c:ptCount val="18"/>
                <c:pt idx="0">
                  <c:v>3</c:v>
                </c:pt>
                <c:pt idx="1">
                  <c:v>1</c:v>
                </c:pt>
                <c:pt idx="2">
                  <c:v>1</c:v>
                </c:pt>
                <c:pt idx="3">
                  <c:v>1</c:v>
                </c:pt>
                <c:pt idx="4">
                  <c:v>1</c:v>
                </c:pt>
                <c:pt idx="5">
                  <c:v>1</c:v>
                </c:pt>
                <c:pt idx="6">
                  <c:v>2</c:v>
                </c:pt>
                <c:pt idx="7">
                  <c:v>1</c:v>
                </c:pt>
                <c:pt idx="8">
                  <c:v>1</c:v>
                </c:pt>
                <c:pt idx="9">
                  <c:v>1</c:v>
                </c:pt>
                <c:pt idx="10">
                  <c:v>1</c:v>
                </c:pt>
                <c:pt idx="11">
                  <c:v>1</c:v>
                </c:pt>
                <c:pt idx="12">
                  <c:v>1</c:v>
                </c:pt>
                <c:pt idx="13">
                  <c:v>1</c:v>
                </c:pt>
                <c:pt idx="14">
                  <c:v>2</c:v>
                </c:pt>
                <c:pt idx="15">
                  <c:v>2</c:v>
                </c:pt>
                <c:pt idx="16">
                  <c:v>1</c:v>
                </c:pt>
                <c:pt idx="17">
                  <c:v>2</c:v>
                </c:pt>
              </c:numCache>
            </c:numRef>
          </c:val>
          <c:extLst>
            <c:ext xmlns:c16="http://schemas.microsoft.com/office/drawing/2014/chart" uri="{C3380CC4-5D6E-409C-BE32-E72D297353CC}">
              <c16:uniqueId val="{00000000-339F-4C48-90AB-6D90544707A4}"/>
            </c:ext>
          </c:extLst>
        </c:ser>
        <c:dLbls>
          <c:showLegendKey val="0"/>
          <c:showVal val="0"/>
          <c:showCatName val="0"/>
          <c:showSerName val="0"/>
          <c:showPercent val="0"/>
          <c:showBubbleSize val="0"/>
        </c:dLbls>
        <c:gapWidth val="219"/>
        <c:overlap val="-27"/>
        <c:axId val="1486173424"/>
        <c:axId val="1486169584"/>
      </c:barChart>
      <c:catAx>
        <c:axId val="1486173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s-MX"/>
                  <a:t>Antibiótico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crossAx val="1486169584"/>
        <c:crosses val="autoZero"/>
        <c:auto val="1"/>
        <c:lblAlgn val="ctr"/>
        <c:lblOffset val="100"/>
        <c:noMultiLvlLbl val="0"/>
      </c:catAx>
      <c:valAx>
        <c:axId val="1486169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s-MX"/>
                  <a:t>Frecuencia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crossAx val="148617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s-MX"/>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Hoja3!$B$1</c:f>
              <c:strCache>
                <c:ptCount val="1"/>
                <c:pt idx="0">
                  <c:v>Cantidad </c:v>
                </c:pt>
              </c:strCache>
            </c:strRef>
          </c:tx>
          <c:spPr>
            <a:solidFill>
              <a:schemeClr val="accent1"/>
            </a:solidFill>
            <a:ln>
              <a:noFill/>
            </a:ln>
            <a:effectLst/>
          </c:spPr>
          <c:invertIfNegative val="0"/>
          <c:cat>
            <c:strRef>
              <c:f>Hoja3!$A$2:$A$14</c:f>
              <c:strCache>
                <c:ptCount val="13"/>
                <c:pt idx="0">
                  <c:v>Animals</c:v>
                </c:pt>
                <c:pt idx="1">
                  <c:v>Antibiotics</c:v>
                </c:pt>
                <c:pt idx="2">
                  <c:v>Australian Veterinary Journal</c:v>
                </c:pt>
                <c:pt idx="3">
                  <c:v>BMC Veterinary Research</c:v>
                </c:pt>
                <c:pt idx="4">
                  <c:v>Frontiers in Veterinary Sciences</c:v>
                </c:pt>
                <c:pt idx="5">
                  <c:v>Journal of the South African Veterinary Association</c:v>
                </c:pt>
                <c:pt idx="6">
                  <c:v>PLoS One</c:v>
                </c:pt>
                <c:pt idx="7">
                  <c:v>Veterinary Dermatology</c:v>
                </c:pt>
                <c:pt idx="8">
                  <c:v>Veterinary Microbiology</c:v>
                </c:pt>
                <c:pt idx="9">
                  <c:v>Veterinary Practitioner</c:v>
                </c:pt>
                <c:pt idx="10">
                  <c:v>Veterinary Research Communications</c:v>
                </c:pt>
                <c:pt idx="11">
                  <c:v>Veterinary Science</c:v>
                </c:pt>
                <c:pt idx="12">
                  <c:v>Veterinary World</c:v>
                </c:pt>
              </c:strCache>
            </c:strRef>
          </c:cat>
          <c:val>
            <c:numRef>
              <c:f>Hoja3!$B$2:$B$14</c:f>
              <c:numCache>
                <c:formatCode>General</c:formatCode>
                <c:ptCount val="13"/>
                <c:pt idx="0">
                  <c:v>1</c:v>
                </c:pt>
                <c:pt idx="1">
                  <c:v>2</c:v>
                </c:pt>
                <c:pt idx="2">
                  <c:v>1</c:v>
                </c:pt>
                <c:pt idx="3">
                  <c:v>1</c:v>
                </c:pt>
                <c:pt idx="4">
                  <c:v>1</c:v>
                </c:pt>
                <c:pt idx="5">
                  <c:v>1</c:v>
                </c:pt>
                <c:pt idx="6">
                  <c:v>1</c:v>
                </c:pt>
                <c:pt idx="7">
                  <c:v>8</c:v>
                </c:pt>
                <c:pt idx="8">
                  <c:v>1</c:v>
                </c:pt>
                <c:pt idx="9">
                  <c:v>1</c:v>
                </c:pt>
                <c:pt idx="10">
                  <c:v>2</c:v>
                </c:pt>
                <c:pt idx="11">
                  <c:v>2</c:v>
                </c:pt>
                <c:pt idx="12">
                  <c:v>2</c:v>
                </c:pt>
              </c:numCache>
            </c:numRef>
          </c:val>
          <c:extLst>
            <c:ext xmlns:c16="http://schemas.microsoft.com/office/drawing/2014/chart" uri="{C3380CC4-5D6E-409C-BE32-E72D297353CC}">
              <c16:uniqueId val="{00000000-C7F9-4463-9C9B-A03D93CD80FA}"/>
            </c:ext>
          </c:extLst>
        </c:ser>
        <c:dLbls>
          <c:showLegendKey val="0"/>
          <c:showVal val="0"/>
          <c:showCatName val="0"/>
          <c:showSerName val="0"/>
          <c:showPercent val="0"/>
          <c:showBubbleSize val="0"/>
        </c:dLbls>
        <c:gapWidth val="182"/>
        <c:axId val="1129021984"/>
        <c:axId val="1129014784"/>
      </c:barChart>
      <c:catAx>
        <c:axId val="11290219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MX"/>
                  <a:t>Revista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1129014784"/>
        <c:crosses val="autoZero"/>
        <c:auto val="1"/>
        <c:lblAlgn val="ctr"/>
        <c:lblOffset val="100"/>
        <c:noMultiLvlLbl val="0"/>
      </c:catAx>
      <c:valAx>
        <c:axId val="1129014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MX"/>
                  <a:t>Frecuencia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112902198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s-MX"/>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barChart>
        <c:barDir val="col"/>
        <c:grouping val="clustered"/>
        <c:varyColors val="0"/>
        <c:ser>
          <c:idx val="0"/>
          <c:order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Hoja3!$A$68:$A$71</c:f>
              <c:strCache>
                <c:ptCount val="4"/>
                <c:pt idx="0">
                  <c:v>Staphylococcus aureus</c:v>
                </c:pt>
                <c:pt idx="1">
                  <c:v>Staphylococcus coagulans</c:v>
                </c:pt>
                <c:pt idx="2">
                  <c:v>Staphylococcus pseudintermedius</c:v>
                </c:pt>
                <c:pt idx="3">
                  <c:v>Staphylococcus resistente a la penicilina</c:v>
                </c:pt>
              </c:strCache>
            </c:strRef>
          </c:cat>
          <c:val>
            <c:numRef>
              <c:f>Hoja3!$B$68:$B$71</c:f>
              <c:numCache>
                <c:formatCode>General</c:formatCode>
                <c:ptCount val="4"/>
                <c:pt idx="0">
                  <c:v>1</c:v>
                </c:pt>
                <c:pt idx="1">
                  <c:v>1</c:v>
                </c:pt>
                <c:pt idx="2">
                  <c:v>14</c:v>
                </c:pt>
                <c:pt idx="3">
                  <c:v>1</c:v>
                </c:pt>
              </c:numCache>
            </c:numRef>
          </c:val>
          <c:extLst>
            <c:ext xmlns:c16="http://schemas.microsoft.com/office/drawing/2014/chart" uri="{C3380CC4-5D6E-409C-BE32-E72D297353CC}">
              <c16:uniqueId val="{00000000-6828-48E2-A08B-43DBBC20BB0F}"/>
            </c:ext>
          </c:extLst>
        </c:ser>
        <c:dLbls>
          <c:showLegendKey val="0"/>
          <c:showVal val="0"/>
          <c:showCatName val="0"/>
          <c:showSerName val="0"/>
          <c:showPercent val="0"/>
          <c:showBubbleSize val="0"/>
        </c:dLbls>
        <c:gapWidth val="100"/>
        <c:overlap val="-24"/>
        <c:axId val="1273226752"/>
        <c:axId val="1273226272"/>
      </c:barChart>
      <c:catAx>
        <c:axId val="1273226752"/>
        <c:scaling>
          <c:orientation val="minMax"/>
        </c:scaling>
        <c:delete val="0"/>
        <c:axPos val="b"/>
        <c:title>
          <c:tx>
            <c:rich>
              <a:bodyPr rot="0" spcFirstLastPara="1" vertOverflow="ellipsis" vert="horz" wrap="square" anchor="ctr" anchorCtr="1"/>
              <a:lstStyle/>
              <a:p>
                <a:pPr>
                  <a:defRPr sz="900" b="0" i="0" u="none" strike="noStrike" kern="1200" cap="all" baseline="0">
                    <a:solidFill>
                      <a:sysClr val="windowText" lastClr="000000"/>
                    </a:solidFill>
                    <a:latin typeface="Arial" panose="020B0604020202020204" pitchFamily="34" charset="0"/>
                    <a:ea typeface="+mn-ea"/>
                    <a:cs typeface="Arial" panose="020B0604020202020204" pitchFamily="34" charset="0"/>
                  </a:defRPr>
                </a:pPr>
                <a:r>
                  <a:rPr lang="es-MX" cap="none" baseline="0">
                    <a:solidFill>
                      <a:sysClr val="windowText" lastClr="000000"/>
                    </a:solidFill>
                  </a:rPr>
                  <a:t>Especie de </a:t>
                </a:r>
                <a:r>
                  <a:rPr lang="es-MX" i="1" cap="none" baseline="0">
                    <a:solidFill>
                      <a:sysClr val="windowText" lastClr="000000"/>
                    </a:solidFill>
                  </a:rPr>
                  <a:t>Staphylococcus</a:t>
                </a:r>
              </a:p>
            </c:rich>
          </c:tx>
          <c:overlay val="0"/>
          <c:spPr>
            <a:noFill/>
            <a:ln>
              <a:noFill/>
            </a:ln>
            <a:effectLst/>
          </c:spPr>
          <c:txPr>
            <a:bodyPr rot="0" spcFirstLastPara="1" vertOverflow="ellipsis" vert="horz" wrap="square" anchor="ctr" anchorCtr="1"/>
            <a:lstStyle/>
            <a:p>
              <a:pPr>
                <a:defRPr sz="900" b="0" i="0" u="none" strike="noStrike" kern="1200" cap="all" baseline="0">
                  <a:solidFill>
                    <a:sysClr val="windowText" lastClr="000000"/>
                  </a:solidFill>
                  <a:latin typeface="Arial" panose="020B0604020202020204" pitchFamily="34" charset="0"/>
                  <a:ea typeface="+mn-ea"/>
                  <a:cs typeface="Arial" panose="020B0604020202020204" pitchFamily="34" charset="0"/>
                </a:defRPr>
              </a:pPr>
              <a:endParaRPr lang="es-MX"/>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s-MX"/>
          </a:p>
        </c:txPr>
        <c:crossAx val="1273226272"/>
        <c:crosses val="autoZero"/>
        <c:auto val="1"/>
        <c:lblAlgn val="ctr"/>
        <c:lblOffset val="100"/>
        <c:noMultiLvlLbl val="0"/>
      </c:catAx>
      <c:valAx>
        <c:axId val="1273226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ysClr val="windowText" lastClr="000000"/>
                    </a:solidFill>
                    <a:latin typeface="Arial" panose="020B0604020202020204" pitchFamily="34" charset="0"/>
                    <a:ea typeface="+mn-ea"/>
                    <a:cs typeface="Arial" panose="020B0604020202020204" pitchFamily="34" charset="0"/>
                  </a:defRPr>
                </a:pPr>
                <a:r>
                  <a:rPr lang="es-MX" cap="none" baseline="0">
                    <a:solidFill>
                      <a:sysClr val="windowText" lastClr="000000"/>
                    </a:solidFill>
                  </a:rPr>
                  <a:t>Frecuencia</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ysClr val="windowText" lastClr="000000"/>
                  </a:solidFill>
                  <a:latin typeface="Arial" panose="020B0604020202020204" pitchFamily="34" charset="0"/>
                  <a:ea typeface="+mn-ea"/>
                  <a:cs typeface="Arial" panose="020B0604020202020204" pitchFamily="34" charset="0"/>
                </a:defRPr>
              </a:pPr>
              <a:endParaRPr lang="es-MX"/>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s-MX"/>
          </a:p>
        </c:txPr>
        <c:crossAx val="127322675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s-MX"/>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Hoja4!$B$1</c:f>
              <c:strCache>
                <c:ptCount val="1"/>
                <c:pt idx="0">
                  <c:v>Resistencia</c:v>
                </c:pt>
              </c:strCache>
            </c:strRef>
          </c:tx>
          <c:spPr>
            <a:solidFill>
              <a:schemeClr val="accent1"/>
            </a:solidFill>
            <a:ln>
              <a:noFill/>
            </a:ln>
            <a:effectLst/>
          </c:spPr>
          <c:invertIfNegative val="0"/>
          <c:cat>
            <c:strRef>
              <c:f>Hoja4!$A$2:$A$28</c:f>
              <c:strCache>
                <c:ptCount val="27"/>
                <c:pt idx="0">
                  <c:v>Amikacina</c:v>
                </c:pt>
                <c:pt idx="1">
                  <c:v>Amoxicilina</c:v>
                </c:pt>
                <c:pt idx="2">
                  <c:v>Aumectina</c:v>
                </c:pt>
                <c:pt idx="3">
                  <c:v>Ampicilina</c:v>
                </c:pt>
                <c:pt idx="4">
                  <c:v>Ceftazidima</c:v>
                </c:pt>
                <c:pt idx="5">
                  <c:v>Cloramfenicol</c:v>
                </c:pt>
                <c:pt idx="6">
                  <c:v>Cotrimoxazol</c:v>
                </c:pt>
                <c:pt idx="7">
                  <c:v>Enrofloxacina</c:v>
                </c:pt>
                <c:pt idx="8">
                  <c:v>Fluoroquinolonas</c:v>
                </c:pt>
                <c:pt idx="9">
                  <c:v>Gentamicina</c:v>
                </c:pt>
                <c:pt idx="10">
                  <c:v>Imipenem</c:v>
                </c:pt>
                <c:pt idx="11">
                  <c:v>Lincosamida</c:v>
                </c:pt>
                <c:pt idx="12">
                  <c:v>Linezolida</c:v>
                </c:pt>
                <c:pt idx="13">
                  <c:v>Meticilina</c:v>
                </c:pt>
                <c:pt idx="14">
                  <c:v>Mupirocina</c:v>
                </c:pt>
                <c:pt idx="15">
                  <c:v>Nitrofurantoina</c:v>
                </c:pt>
                <c:pt idx="16">
                  <c:v>Oxacilina</c:v>
                </c:pt>
                <c:pt idx="17">
                  <c:v>P128</c:v>
                </c:pt>
                <c:pt idx="18">
                  <c:v>Penicilina</c:v>
                </c:pt>
                <c:pt idx="19">
                  <c:v>Piperacilina-tazobactam</c:v>
                </c:pt>
                <c:pt idx="20">
                  <c:v>Polimixina-B</c:v>
                </c:pt>
                <c:pt idx="21">
                  <c:v>Rifampicina</c:v>
                </c:pt>
                <c:pt idx="22">
                  <c:v>Tetraciclinas</c:v>
                </c:pt>
                <c:pt idx="23">
                  <c:v>Ticarcilina</c:v>
                </c:pt>
                <c:pt idx="24">
                  <c:v>Tobramicina</c:v>
                </c:pt>
                <c:pt idx="25">
                  <c:v>Trimetoprima/sulfonamidas</c:v>
                </c:pt>
                <c:pt idx="26">
                  <c:v>Vancomicina</c:v>
                </c:pt>
              </c:strCache>
            </c:strRef>
          </c:cat>
          <c:val>
            <c:numRef>
              <c:f>Hoja4!$B$2:$B$28</c:f>
              <c:numCache>
                <c:formatCode>General</c:formatCode>
                <c:ptCount val="27"/>
                <c:pt idx="0">
                  <c:v>1</c:v>
                </c:pt>
                <c:pt idx="1">
                  <c:v>1</c:v>
                </c:pt>
                <c:pt idx="2">
                  <c:v>0</c:v>
                </c:pt>
                <c:pt idx="3">
                  <c:v>3</c:v>
                </c:pt>
                <c:pt idx="4">
                  <c:v>0</c:v>
                </c:pt>
                <c:pt idx="5">
                  <c:v>0</c:v>
                </c:pt>
                <c:pt idx="6">
                  <c:v>1</c:v>
                </c:pt>
                <c:pt idx="7">
                  <c:v>2</c:v>
                </c:pt>
                <c:pt idx="8">
                  <c:v>0</c:v>
                </c:pt>
                <c:pt idx="9">
                  <c:v>0</c:v>
                </c:pt>
                <c:pt idx="10">
                  <c:v>0</c:v>
                </c:pt>
                <c:pt idx="11">
                  <c:v>1</c:v>
                </c:pt>
                <c:pt idx="12">
                  <c:v>0</c:v>
                </c:pt>
                <c:pt idx="13">
                  <c:v>1</c:v>
                </c:pt>
                <c:pt idx="14">
                  <c:v>0</c:v>
                </c:pt>
                <c:pt idx="15">
                  <c:v>0</c:v>
                </c:pt>
                <c:pt idx="16">
                  <c:v>1</c:v>
                </c:pt>
                <c:pt idx="17">
                  <c:v>0</c:v>
                </c:pt>
                <c:pt idx="18">
                  <c:v>9</c:v>
                </c:pt>
                <c:pt idx="19">
                  <c:v>1</c:v>
                </c:pt>
                <c:pt idx="20">
                  <c:v>1</c:v>
                </c:pt>
                <c:pt idx="21">
                  <c:v>0</c:v>
                </c:pt>
                <c:pt idx="22">
                  <c:v>0</c:v>
                </c:pt>
                <c:pt idx="23">
                  <c:v>1</c:v>
                </c:pt>
                <c:pt idx="24">
                  <c:v>0</c:v>
                </c:pt>
                <c:pt idx="25">
                  <c:v>0</c:v>
                </c:pt>
                <c:pt idx="26">
                  <c:v>1</c:v>
                </c:pt>
              </c:numCache>
            </c:numRef>
          </c:val>
          <c:extLst>
            <c:ext xmlns:c16="http://schemas.microsoft.com/office/drawing/2014/chart" uri="{C3380CC4-5D6E-409C-BE32-E72D297353CC}">
              <c16:uniqueId val="{00000000-087D-4243-B243-EFA42135578A}"/>
            </c:ext>
          </c:extLst>
        </c:ser>
        <c:ser>
          <c:idx val="1"/>
          <c:order val="1"/>
          <c:tx>
            <c:strRef>
              <c:f>Hoja4!$C$1</c:f>
              <c:strCache>
                <c:ptCount val="1"/>
                <c:pt idx="0">
                  <c:v>Susceptibilidad</c:v>
                </c:pt>
              </c:strCache>
            </c:strRef>
          </c:tx>
          <c:spPr>
            <a:solidFill>
              <a:schemeClr val="accent2"/>
            </a:solidFill>
            <a:ln>
              <a:noFill/>
            </a:ln>
            <a:effectLst/>
          </c:spPr>
          <c:invertIfNegative val="0"/>
          <c:cat>
            <c:strRef>
              <c:f>Hoja4!$A$2:$A$28</c:f>
              <c:strCache>
                <c:ptCount val="27"/>
                <c:pt idx="0">
                  <c:v>Amikacina</c:v>
                </c:pt>
                <c:pt idx="1">
                  <c:v>Amoxicilina</c:v>
                </c:pt>
                <c:pt idx="2">
                  <c:v>Aumectina</c:v>
                </c:pt>
                <c:pt idx="3">
                  <c:v>Ampicilina</c:v>
                </c:pt>
                <c:pt idx="4">
                  <c:v>Ceftazidima</c:v>
                </c:pt>
                <c:pt idx="5">
                  <c:v>Cloramfenicol</c:v>
                </c:pt>
                <c:pt idx="6">
                  <c:v>Cotrimoxazol</c:v>
                </c:pt>
                <c:pt idx="7">
                  <c:v>Enrofloxacina</c:v>
                </c:pt>
                <c:pt idx="8">
                  <c:v>Fluoroquinolonas</c:v>
                </c:pt>
                <c:pt idx="9">
                  <c:v>Gentamicina</c:v>
                </c:pt>
                <c:pt idx="10">
                  <c:v>Imipenem</c:v>
                </c:pt>
                <c:pt idx="11">
                  <c:v>Lincosamida</c:v>
                </c:pt>
                <c:pt idx="12">
                  <c:v>Linezolida</c:v>
                </c:pt>
                <c:pt idx="13">
                  <c:v>Meticilina</c:v>
                </c:pt>
                <c:pt idx="14">
                  <c:v>Mupirocina</c:v>
                </c:pt>
                <c:pt idx="15">
                  <c:v>Nitrofurantoina</c:v>
                </c:pt>
                <c:pt idx="16">
                  <c:v>Oxacilina</c:v>
                </c:pt>
                <c:pt idx="17">
                  <c:v>P128</c:v>
                </c:pt>
                <c:pt idx="18">
                  <c:v>Penicilina</c:v>
                </c:pt>
                <c:pt idx="19">
                  <c:v>Piperacilina-tazobactam</c:v>
                </c:pt>
                <c:pt idx="20">
                  <c:v>Polimixina-B</c:v>
                </c:pt>
                <c:pt idx="21">
                  <c:v>Rifampicina</c:v>
                </c:pt>
                <c:pt idx="22">
                  <c:v>Tetraciclinas</c:v>
                </c:pt>
                <c:pt idx="23">
                  <c:v>Ticarcilina</c:v>
                </c:pt>
                <c:pt idx="24">
                  <c:v>Tobramicina</c:v>
                </c:pt>
                <c:pt idx="25">
                  <c:v>Trimetoprima/sulfonamidas</c:v>
                </c:pt>
                <c:pt idx="26">
                  <c:v>Vancomicina</c:v>
                </c:pt>
              </c:strCache>
            </c:strRef>
          </c:cat>
          <c:val>
            <c:numRef>
              <c:f>Hoja4!$C$2:$C$28</c:f>
              <c:numCache>
                <c:formatCode>General</c:formatCode>
                <c:ptCount val="27"/>
                <c:pt idx="0">
                  <c:v>0</c:v>
                </c:pt>
                <c:pt idx="1">
                  <c:v>0</c:v>
                </c:pt>
                <c:pt idx="2">
                  <c:v>1</c:v>
                </c:pt>
                <c:pt idx="3">
                  <c:v>0</c:v>
                </c:pt>
                <c:pt idx="4">
                  <c:v>2</c:v>
                </c:pt>
                <c:pt idx="5">
                  <c:v>1</c:v>
                </c:pt>
                <c:pt idx="6">
                  <c:v>0</c:v>
                </c:pt>
                <c:pt idx="7">
                  <c:v>1</c:v>
                </c:pt>
                <c:pt idx="8">
                  <c:v>1</c:v>
                </c:pt>
                <c:pt idx="9">
                  <c:v>2</c:v>
                </c:pt>
                <c:pt idx="10">
                  <c:v>1</c:v>
                </c:pt>
                <c:pt idx="11">
                  <c:v>0</c:v>
                </c:pt>
                <c:pt idx="12">
                  <c:v>4</c:v>
                </c:pt>
                <c:pt idx="13">
                  <c:v>0</c:v>
                </c:pt>
                <c:pt idx="14">
                  <c:v>2</c:v>
                </c:pt>
                <c:pt idx="15">
                  <c:v>2</c:v>
                </c:pt>
                <c:pt idx="16">
                  <c:v>0</c:v>
                </c:pt>
                <c:pt idx="17">
                  <c:v>1</c:v>
                </c:pt>
                <c:pt idx="18">
                  <c:v>0</c:v>
                </c:pt>
                <c:pt idx="19">
                  <c:v>0</c:v>
                </c:pt>
                <c:pt idx="20">
                  <c:v>0</c:v>
                </c:pt>
                <c:pt idx="21">
                  <c:v>2</c:v>
                </c:pt>
                <c:pt idx="22">
                  <c:v>1</c:v>
                </c:pt>
                <c:pt idx="23">
                  <c:v>0</c:v>
                </c:pt>
                <c:pt idx="24">
                  <c:v>1</c:v>
                </c:pt>
                <c:pt idx="25">
                  <c:v>2</c:v>
                </c:pt>
                <c:pt idx="26">
                  <c:v>2</c:v>
                </c:pt>
              </c:numCache>
            </c:numRef>
          </c:val>
          <c:extLst>
            <c:ext xmlns:c16="http://schemas.microsoft.com/office/drawing/2014/chart" uri="{C3380CC4-5D6E-409C-BE32-E72D297353CC}">
              <c16:uniqueId val="{00000001-087D-4243-B243-EFA42135578A}"/>
            </c:ext>
          </c:extLst>
        </c:ser>
        <c:dLbls>
          <c:showLegendKey val="0"/>
          <c:showVal val="0"/>
          <c:showCatName val="0"/>
          <c:showSerName val="0"/>
          <c:showPercent val="0"/>
          <c:showBubbleSize val="0"/>
        </c:dLbls>
        <c:gapWidth val="199"/>
        <c:axId val="1028074528"/>
        <c:axId val="1028074048"/>
      </c:barChart>
      <c:catAx>
        <c:axId val="102807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s-MX"/>
          </a:p>
        </c:txPr>
        <c:crossAx val="1028074048"/>
        <c:crosses val="autoZero"/>
        <c:auto val="1"/>
        <c:lblAlgn val="ctr"/>
        <c:lblOffset val="100"/>
        <c:noMultiLvlLbl val="0"/>
      </c:catAx>
      <c:valAx>
        <c:axId val="102807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MX"/>
          </a:p>
        </c:txPr>
        <c:crossAx val="1028074528"/>
        <c:crosses val="autoZero"/>
        <c:crossBetween val="between"/>
      </c:valAx>
      <c:spPr>
        <a:noFill/>
        <a:ln>
          <a:noFill/>
        </a:ln>
        <a:effectLst/>
      </c:spPr>
    </c:plotArea>
    <c:legend>
      <c:legendPos val="t"/>
      <c:layout>
        <c:manualLayout>
          <c:xMode val="edge"/>
          <c:yMode val="edge"/>
          <c:x val="0.32638047297995598"/>
          <c:y val="3.2569559895500304E-2"/>
          <c:w val="0.34723905404008798"/>
          <c:h val="5.6201107112191014E-2"/>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609600</xdr:colOff>
      <xdr:row>0</xdr:row>
      <xdr:rowOff>95250</xdr:rowOff>
    </xdr:from>
    <xdr:to>
      <xdr:col>15</xdr:col>
      <xdr:colOff>466725</xdr:colOff>
      <xdr:row>20</xdr:row>
      <xdr:rowOff>0</xdr:rowOff>
    </xdr:to>
    <xdr:graphicFrame macro="">
      <xdr:nvGraphicFramePr>
        <xdr:cNvPr id="5" name="Gráfico 4">
          <a:extLst>
            <a:ext uri="{FF2B5EF4-FFF2-40B4-BE49-F238E27FC236}">
              <a16:creationId xmlns:a16="http://schemas.microsoft.com/office/drawing/2014/main" id="{4857F337-A433-0D8C-42D1-F7BD84A1A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204786</xdr:colOff>
      <xdr:row>18</xdr:row>
      <xdr:rowOff>38100</xdr:rowOff>
    </xdr:from>
    <xdr:to>
      <xdr:col>8</xdr:col>
      <xdr:colOff>761999</xdr:colOff>
      <xdr:row>35</xdr:row>
      <xdr:rowOff>28575</xdr:rowOff>
    </xdr:to>
    <xdr:graphicFrame macro="">
      <xdr:nvGraphicFramePr>
        <xdr:cNvPr id="6" name="Gráfico 5">
          <a:extLst>
            <a:ext uri="{FF2B5EF4-FFF2-40B4-BE49-F238E27FC236}">
              <a16:creationId xmlns:a16="http://schemas.microsoft.com/office/drawing/2014/main" id="{289C9314-FCDF-FE8E-48E2-BE23ED46A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233362</xdr:colOff>
      <xdr:row>26</xdr:row>
      <xdr:rowOff>142875</xdr:rowOff>
    </xdr:from>
    <xdr:to>
      <xdr:col>13</xdr:col>
      <xdr:colOff>233362</xdr:colOff>
      <xdr:row>42</xdr:row>
      <xdr:rowOff>133350</xdr:rowOff>
    </xdr:to>
    <xdr:graphicFrame macro="">
      <xdr:nvGraphicFramePr>
        <xdr:cNvPr id="7" name="Gráfico 6">
          <a:extLst>
            <a:ext uri="{FF2B5EF4-FFF2-40B4-BE49-F238E27FC236}">
              <a16:creationId xmlns:a16="http://schemas.microsoft.com/office/drawing/2014/main" id="{11FA5FF4-E733-DC44-C405-7366B5834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676275</xdr:colOff>
      <xdr:row>43</xdr:row>
      <xdr:rowOff>76200</xdr:rowOff>
    </xdr:from>
    <xdr:to>
      <xdr:col>14</xdr:col>
      <xdr:colOff>676275</xdr:colOff>
      <xdr:row>60</xdr:row>
      <xdr:rowOff>66675</xdr:rowOff>
    </xdr:to>
    <xdr:graphicFrame macro="">
      <xdr:nvGraphicFramePr>
        <xdr:cNvPr id="8" name="Gráfico 7">
          <a:extLst>
            <a:ext uri="{FF2B5EF4-FFF2-40B4-BE49-F238E27FC236}">
              <a16:creationId xmlns:a16="http://schemas.microsoft.com/office/drawing/2014/main" id="{18A7EFAD-AAEA-EF38-22DD-DD015F95A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176212</xdr:colOff>
      <xdr:row>63</xdr:row>
      <xdr:rowOff>19050</xdr:rowOff>
    </xdr:from>
    <xdr:to>
      <xdr:col>10</xdr:col>
      <xdr:colOff>176212</xdr:colOff>
      <xdr:row>77</xdr:row>
      <xdr:rowOff>9525</xdr:rowOff>
    </xdr:to>
    <xdr:graphicFrame macro="">
      <xdr:nvGraphicFramePr>
        <xdr:cNvPr id="9" name="Gráfico 8">
          <a:extLst>
            <a:ext uri="{FF2B5EF4-FFF2-40B4-BE49-F238E27FC236}">
              <a16:creationId xmlns:a16="http://schemas.microsoft.com/office/drawing/2014/main" id="{55B1AD8D-2678-2EA1-D564-91FDC73CC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528637</xdr:colOff>
      <xdr:row>64</xdr:row>
      <xdr:rowOff>19050</xdr:rowOff>
    </xdr:from>
    <xdr:to>
      <xdr:col>14</xdr:col>
      <xdr:colOff>528637</xdr:colOff>
      <xdr:row>81</xdr:row>
      <xdr:rowOff>9525</xdr:rowOff>
    </xdr:to>
    <xdr:graphicFrame macro="">
      <xdr:nvGraphicFramePr>
        <xdr:cNvPr id="2" name="Gráfico 1">
          <a:extLst>
            <a:ext uri="{FF2B5EF4-FFF2-40B4-BE49-F238E27FC236}">
              <a16:creationId xmlns:a16="http://schemas.microsoft.com/office/drawing/2014/main" id="{261CCECF-F6C4-95FE-1E69-8B688F842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338137</xdr:colOff>
      <xdr:row>88</xdr:row>
      <xdr:rowOff>0</xdr:rowOff>
    </xdr:from>
    <xdr:to>
      <xdr:col>8</xdr:col>
      <xdr:colOff>338137</xdr:colOff>
      <xdr:row>104</xdr:row>
      <xdr:rowOff>152400</xdr:rowOff>
    </xdr:to>
    <xdr:graphicFrame macro="">
      <xdr:nvGraphicFramePr>
        <xdr:cNvPr id="3" name="Gráfico 2">
          <a:extLst>
            <a:ext uri="{FF2B5EF4-FFF2-40B4-BE49-F238E27FC236}">
              <a16:creationId xmlns:a16="http://schemas.microsoft.com/office/drawing/2014/main" id="{6A55BF71-AD70-842A-986D-6534ECF1E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338137</xdr:colOff>
      <xdr:row>103</xdr:row>
      <xdr:rowOff>0</xdr:rowOff>
    </xdr:from>
    <xdr:to>
      <xdr:col>8</xdr:col>
      <xdr:colOff>338137</xdr:colOff>
      <xdr:row>119</xdr:row>
      <xdr:rowOff>152400</xdr:rowOff>
    </xdr:to>
    <xdr:graphicFrame macro="">
      <xdr:nvGraphicFramePr>
        <xdr:cNvPr id="4" name="Gráfico 3">
          <a:extLst>
            <a:ext uri="{FF2B5EF4-FFF2-40B4-BE49-F238E27FC236}">
              <a16:creationId xmlns:a16="http://schemas.microsoft.com/office/drawing/2014/main" id="{00475243-AFCD-4B1F-0944-CE617A2A9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444500</xdr:colOff>
      <xdr:row>14</xdr:row>
      <xdr:rowOff>104775</xdr:rowOff>
    </xdr:from>
    <xdr:to>
      <xdr:col>18</xdr:col>
      <xdr:colOff>444500</xdr:colOff>
      <xdr:row>31</xdr:row>
      <xdr:rowOff>149225</xdr:rowOff>
    </xdr:to>
    <xdr:graphicFrame macro="">
      <xdr:nvGraphicFramePr>
        <xdr:cNvPr id="14" name="Gráfico 13">
          <a:extLst>
            <a:ext uri="{FF2B5EF4-FFF2-40B4-BE49-F238E27FC236}">
              <a16:creationId xmlns:a16="http://schemas.microsoft.com/office/drawing/2014/main" id="{D405FAA0-890F-0E2D-B73E-52CA9D74E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111919</xdr:colOff>
      <xdr:row>49</xdr:row>
      <xdr:rowOff>154781</xdr:rowOff>
    </xdr:from>
    <xdr:to>
      <xdr:col>21</xdr:col>
      <xdr:colOff>111919</xdr:colOff>
      <xdr:row>66</xdr:row>
      <xdr:rowOff>140494</xdr:rowOff>
    </xdr:to>
    <xdr:graphicFrame macro="">
      <xdr:nvGraphicFramePr>
        <xdr:cNvPr id="16" name="Gráfico 15">
          <a:extLst>
            <a:ext uri="{FF2B5EF4-FFF2-40B4-BE49-F238E27FC236}">
              <a16:creationId xmlns:a16="http://schemas.microsoft.com/office/drawing/2014/main" id="{8B085984-677B-79DE-6A14-E31647B1D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104774</xdr:colOff>
      <xdr:row>6</xdr:row>
      <xdr:rowOff>28575</xdr:rowOff>
    </xdr:from>
    <xdr:to>
      <xdr:col>13</xdr:col>
      <xdr:colOff>723900</xdr:colOff>
      <xdr:row>31</xdr:row>
      <xdr:rowOff>85725</xdr:rowOff>
    </xdr:to>
    <xdr:graphicFrame macro="">
      <xdr:nvGraphicFramePr>
        <xdr:cNvPr id="2" name="Gráfico 1">
          <a:extLst>
            <a:ext uri="{FF2B5EF4-FFF2-40B4-BE49-F238E27FC236}">
              <a16:creationId xmlns:a16="http://schemas.microsoft.com/office/drawing/2014/main" id="{F6B154C9-7DB3-566D-27FA-93F6760D8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copus.com/inward/record.uri?eid=2-s2.0-85106706926&amp;doi=10.3390%2fani11061603&amp;partnerID=40&amp;md5=524b8fbaaa997a250bb056d30e83e82d" TargetMode="External"/><Relationship Id="rId18" Type="http://schemas.openxmlformats.org/officeDocument/2006/relationships/hyperlink" Target="https://www.scopus.com/inward/record.uri?eid=2-s2.0-85175258145&amp;doi=10.3390%2fantibiotics12101548&amp;partnerID=40&amp;md5=d1f66cee0f57d70b54a650f2e4baa6c4" TargetMode="External"/><Relationship Id="rId26" Type="http://schemas.openxmlformats.org/officeDocument/2006/relationships/hyperlink" Target="https://www.scopus.com/inward/record.uri?eid=2-s2.0-85175280600&amp;doi=10.5326%2fJAAHA-MS-7396&amp;partnerID=40&amp;md5=4979c40ee1ee45df3869d3d5937d3d33" TargetMode="External"/><Relationship Id="rId39" Type="http://schemas.openxmlformats.org/officeDocument/2006/relationships/hyperlink" Target="https://www.scopus.com/inward/record.uri?eid=2-s2.0-85157960977&amp;doi=10.1128%2fspectrum.03393-22&amp;partnerID=40&amp;md5=7aad90deff68161058300a800ad2c121" TargetMode="External"/><Relationship Id="rId21" Type="http://schemas.openxmlformats.org/officeDocument/2006/relationships/hyperlink" Target="https://www.scopus.com/inward/record.uri?eid=2-s2.0-85092677357&amp;doi=10.24425%2fpjvs.2020.134693&amp;partnerID=40&amp;md5=69314d02321f14e955993f4a12a16ed6" TargetMode="External"/><Relationship Id="rId34" Type="http://schemas.openxmlformats.org/officeDocument/2006/relationships/hyperlink" Target="https://www.scopus.com/inward/record.uri?eid=2-s2.0-85043685917&amp;doi=10.1177%2f1040638718764786&amp;partnerID=40&amp;md5=4407b3dbe8456360331a5ebacd2c3426" TargetMode="External"/><Relationship Id="rId42" Type="http://schemas.openxmlformats.org/officeDocument/2006/relationships/hyperlink" Target="https://www.scopus.com/inward/record.uri?eid=2-s2.0-85135617858&amp;doi=10.1111%2fvde.13105&amp;partnerID=40&amp;md5=6d5a3b14687667a3e535aa32d6a95d1e" TargetMode="External"/><Relationship Id="rId47" Type="http://schemas.openxmlformats.org/officeDocument/2006/relationships/hyperlink" Target="https://www.scopus.com/inward/record.uri?eid=2-s2.0-85150654474&amp;doi=10.1111%2fvde.13154&amp;partnerID=40&amp;md5=4c12aff243d5dc90e90cdc720207ba2b" TargetMode="External"/><Relationship Id="rId50" Type="http://schemas.openxmlformats.org/officeDocument/2006/relationships/hyperlink" Target="https://www.scopus.com/inward/record.uri?eid=2-s2.0-85045109657&amp;doi=10.1016%2fj.tvjl.2018.03.009&amp;partnerID=40&amp;md5=bed9fca61dff58987aee2f1f9304997b" TargetMode="External"/><Relationship Id="rId55" Type="http://schemas.openxmlformats.org/officeDocument/2006/relationships/hyperlink" Target="https://www.scopus.com/inward/record.uri?eid=2-s2.0-85050453779&amp;doi=10.1002%2fpsc.3098&amp;partnerID=40&amp;md5=4a01c452babc7b540adca3c321247e83" TargetMode="External"/><Relationship Id="rId7" Type="http://schemas.openxmlformats.org/officeDocument/2006/relationships/hyperlink" Target="https://www.scopus.com/inward/record.uri?eid=2-s2.0-85052620609&amp;doi=10.1111%2fvde.12677&amp;partnerID=40&amp;md5=be14bbe52162464c0cbe03e0337a0b4f" TargetMode="External"/><Relationship Id="rId2" Type="http://schemas.openxmlformats.org/officeDocument/2006/relationships/hyperlink" Target="https://www.scopus.com/inward/record.uri?eid=2-s2.0-84872694552&amp;doi=10.1111%2fj.1365-3164.2012.01051.x&amp;partnerID=40&amp;md5=fed07290b6473ab6c95341c24353924c" TargetMode="External"/><Relationship Id="rId16" Type="http://schemas.openxmlformats.org/officeDocument/2006/relationships/hyperlink" Target="https://www.scopus.com/inward/record.uri?eid=2-s2.0-85089221220&amp;doi=10.3389%2ffvets.2020.00376&amp;partnerID=40&amp;md5=5c6178916ca716fc7198e91bcfc5474a" TargetMode="External"/><Relationship Id="rId29" Type="http://schemas.openxmlformats.org/officeDocument/2006/relationships/hyperlink" Target="https://www.scopus.com/inward/record.uri?eid=2-s2.0-84879406104&amp;partnerID=40&amp;md5=8902f4e6cea961e6dedb05fbfd5e9595" TargetMode="External"/><Relationship Id="rId11" Type="http://schemas.openxmlformats.org/officeDocument/2006/relationships/hyperlink" Target="https://www.scopus.com/inward/record.uri?eid=2-s2.0-84905169419&amp;doi=10.1089%2fmdr.2013.0043&amp;partnerID=40&amp;md5=8c53c233e00d1ca59b7b43fef4177185" TargetMode="External"/><Relationship Id="rId24" Type="http://schemas.openxmlformats.org/officeDocument/2006/relationships/hyperlink" Target="https://www.scopus.com/inward/record.uri?eid=2-s2.0-84879336810&amp;partnerID=40&amp;md5=4884b2bbe37323e911dfd757e630855f" TargetMode="External"/><Relationship Id="rId32" Type="http://schemas.openxmlformats.org/officeDocument/2006/relationships/hyperlink" Target="https://www.scopus.com/inward/record.uri?eid=2-s2.0-85176901558&amp;doi=10.1055%2fa-2174-6948&amp;partnerID=40&amp;md5=615370f7d92c384012b524af9261ac53" TargetMode="External"/><Relationship Id="rId37" Type="http://schemas.openxmlformats.org/officeDocument/2006/relationships/hyperlink" Target="https://www.scopus.com/inward/record.uri?eid=2-s2.0-84936947147&amp;doi=10.1093%2fjac%2fdkv056&amp;partnerID=40&amp;md5=6bf9ff8945ee2d72b9961e5fae19c2e0" TargetMode="External"/><Relationship Id="rId40" Type="http://schemas.openxmlformats.org/officeDocument/2006/relationships/hyperlink" Target="https://www.scopus.com/inward/record.uri?eid=2-s2.0-85064980525&amp;doi=10.5326%2fJAAHA-MS-6628&amp;partnerID=40&amp;md5=592f03f72d74f13991aff16330aefd9f" TargetMode="External"/><Relationship Id="rId45" Type="http://schemas.openxmlformats.org/officeDocument/2006/relationships/hyperlink" Target="https://www.scopus.com/inward/record.uri?eid=2-s2.0-85008237759&amp;doi=10.1111%2fjam.13362&amp;partnerID=40&amp;md5=2e892a7c227a94294f8aaa4f1ca5f3cf" TargetMode="External"/><Relationship Id="rId53" Type="http://schemas.openxmlformats.org/officeDocument/2006/relationships/hyperlink" Target="https://www.scopus.com/inward/record.uri?eid=2-s2.0-85047852959&amp;doi=10.1111%2fvde.12538&amp;partnerID=40&amp;md5=aba7772938561cb5fd934d8c7b366fe7" TargetMode="External"/><Relationship Id="rId5" Type="http://schemas.openxmlformats.org/officeDocument/2006/relationships/hyperlink" Target="https://www.scopus.com/inward/record.uri?eid=2-s2.0-85133752556&amp;doi=10.1016%2fj.tcam.2022.100679&amp;partnerID=40&amp;md5=e7744ae18ea07b426f66eecfe37710cb" TargetMode="External"/><Relationship Id="rId10" Type="http://schemas.openxmlformats.org/officeDocument/2006/relationships/hyperlink" Target="https://www.scopus.com/inward/record.uri?eid=2-s2.0-84908131756&amp;partnerID=40&amp;md5=06363f33b7319adaf1b1a799d841640b" TargetMode="External"/><Relationship Id="rId19" Type="http://schemas.openxmlformats.org/officeDocument/2006/relationships/hyperlink" Target="https://www.scopus.com/inward/record.uri?eid=2-s2.0-85131701731&amp;doi=10.1371%2fjournal.pone.0269422&amp;partnerID=40&amp;md5=5b65333972d86c4a63fa8a87d64ad0de" TargetMode="External"/><Relationship Id="rId31" Type="http://schemas.openxmlformats.org/officeDocument/2006/relationships/hyperlink" Target="https://www.scopus.com/inward/record.uri?eid=2-s2.0-84955721179&amp;doi=10.1111%2fvde.12210&amp;partnerID=40&amp;md5=640b32f1779688ec411d43f149034cf9" TargetMode="External"/><Relationship Id="rId44" Type="http://schemas.openxmlformats.org/officeDocument/2006/relationships/hyperlink" Target="https://www.scopus.com/inward/record.uri?eid=2-s2.0-85040866044&amp;doi=10.1111%2fvde.12518&amp;partnerID=40&amp;md5=60dfbc6bf72d5339a11913b55d42a287" TargetMode="External"/><Relationship Id="rId52" Type="http://schemas.openxmlformats.org/officeDocument/2006/relationships/hyperlink" Target="https://www.scopus.com/inward/record.uri?eid=2-s2.0-85178455879&amp;doi=10.4142%2fjvs.23087&amp;partnerID=40&amp;md5=24c4819cb8dc1155eb11a543a5d688b2" TargetMode="External"/><Relationship Id="rId4" Type="http://schemas.openxmlformats.org/officeDocument/2006/relationships/hyperlink" Target="https://www.scopus.com/inward/record.uri?eid=2-s2.0-84870222610&amp;doi=10.1016%2fj.cvsm.2012.09.013&amp;partnerID=40&amp;md5=539f5092d3897ae5635a6a4077530f8c" TargetMode="External"/><Relationship Id="rId9" Type="http://schemas.openxmlformats.org/officeDocument/2006/relationships/hyperlink" Target="https://www.scopus.com/inward/record.uri?eid=2-s2.0-85119271756&amp;doi=10.1111%2fvde.13040&amp;partnerID=40&amp;md5=3be1c70e7ac51e16b0b1c3c3f1cf4daf" TargetMode="External"/><Relationship Id="rId14" Type="http://schemas.openxmlformats.org/officeDocument/2006/relationships/hyperlink" Target="https://www.scopus.com/inward/record.uri?eid=2-s2.0-85083767108&amp;doi=10.1111%2fvde.12854&amp;partnerID=40&amp;md5=5e3a3ae0a1e9adc9755f3fd0407ec8c4" TargetMode="External"/><Relationship Id="rId22" Type="http://schemas.openxmlformats.org/officeDocument/2006/relationships/hyperlink" Target="https://www.scopus.com/inward/record.uri?eid=2-s2.0-85139689452&amp;doi=10.1111%2fvde.13127&amp;partnerID=40&amp;md5=d14546dbc70c46f122829ae43457bdc5" TargetMode="External"/><Relationship Id="rId27" Type="http://schemas.openxmlformats.org/officeDocument/2006/relationships/hyperlink" Target="https://www.scopus.com/inward/record.uri?eid=2-s2.0-85106978074&amp;doi=10.3390%2fvetsci8050085&amp;partnerID=40&amp;md5=cee00a70bdc9efa206dc8cac16419d8a" TargetMode="External"/><Relationship Id="rId30" Type="http://schemas.openxmlformats.org/officeDocument/2006/relationships/hyperlink" Target="https://www.scopus.com/inward/record.uri?eid=2-s2.0-84870199805&amp;doi=10.1016%2fj.cvsm.2012.09.003&amp;partnerID=40&amp;md5=49fd7e24e02121d662d929d8aa60484a" TargetMode="External"/><Relationship Id="rId35" Type="http://schemas.openxmlformats.org/officeDocument/2006/relationships/hyperlink" Target="https://www.scopus.com/inward/record.uri?eid=2-s2.0-85131454917&amp;doi=10.36303%2fJSAVA.2022.93.1.505&amp;partnerID=40&amp;md5=4f81c92c93ced304a270fe925dfab693" TargetMode="External"/><Relationship Id="rId43" Type="http://schemas.openxmlformats.org/officeDocument/2006/relationships/hyperlink" Target="https://www.scopus.com/inward/record.uri?eid=2-s2.0-85118544093&amp;doi=10.1111%2fvde.13030&amp;partnerID=40&amp;md5=252b288e8cd51c3c0b36d76d35deb913" TargetMode="External"/><Relationship Id="rId48" Type="http://schemas.openxmlformats.org/officeDocument/2006/relationships/hyperlink" Target="https://www.scopus.com/inward/record.uri?eid=2-s2.0-84892467689&amp;doi=10.4102%2fjsava.v84i1.276&amp;partnerID=40&amp;md5=7eb8e7d4ef6fa87baf96177b3ef71be9" TargetMode="External"/><Relationship Id="rId56" Type="http://schemas.openxmlformats.org/officeDocument/2006/relationships/printerSettings" Target="../printerSettings/printerSettings1.bin"/><Relationship Id="rId8" Type="http://schemas.openxmlformats.org/officeDocument/2006/relationships/hyperlink" Target="https://www.scopus.com/inward/record.uri?eid=2-s2.0-85062587462&amp;doi=10.1038%2fs41598-019-39042-3&amp;partnerID=40&amp;md5=4c167c08b6916d15aa50e5cb0885f802" TargetMode="External"/><Relationship Id="rId51" Type="http://schemas.openxmlformats.org/officeDocument/2006/relationships/hyperlink" Target="https://www.scopus.com/inward/record.uri?eid=2-s2.0-85182258656&amp;doi=10.14202%2fvetworld.2023.2340-2348&amp;partnerID=40&amp;md5=08b745f1d9f7eb7f4363f8d25f4a8bb4" TargetMode="External"/><Relationship Id="rId3" Type="http://schemas.openxmlformats.org/officeDocument/2006/relationships/hyperlink" Target="https://www.scopus.com/inward/record.uri?eid=2-s2.0-85129961799&amp;doi=10.3390%2fantibiotics11050609&amp;partnerID=40&amp;md5=1ef6726c3d577c176b2a20a10d0dedf7" TargetMode="External"/><Relationship Id="rId12" Type="http://schemas.openxmlformats.org/officeDocument/2006/relationships/hyperlink" Target="https://www.scopus.com/inward/record.uri?eid=2-s2.0-85042681355&amp;doi=10.1016%2fj.vetmic.2017.09.015&amp;partnerID=40&amp;md5=44d9b762c8d798ba79f9407abfd240d4" TargetMode="External"/><Relationship Id="rId17" Type="http://schemas.openxmlformats.org/officeDocument/2006/relationships/hyperlink" Target="https://www.scopus.com/inward/record.uri?eid=2-s2.0-84929293668&amp;doi=10.1111%2fvde.12209&amp;partnerID=40&amp;md5=714f5c0529ee61a3acec8a266c33ae4e" TargetMode="External"/><Relationship Id="rId25" Type="http://schemas.openxmlformats.org/officeDocument/2006/relationships/hyperlink" Target="https://www.scopus.com/inward/record.uri?eid=2-s2.0-85112231835&amp;doi=10.1111%2fvde.13012&amp;partnerID=40&amp;md5=03eb3e0796aee18b076195e6dbb2e719" TargetMode="External"/><Relationship Id="rId33" Type="http://schemas.openxmlformats.org/officeDocument/2006/relationships/hyperlink" Target="https://www.scopus.com/inward/record.uri?eid=2-s2.0-85105348790&amp;doi=10.14202%2fvetworld.2021.978-985&amp;partnerID=40&amp;md5=bfa6e568eaf744e95fcf0852a3b1c753" TargetMode="External"/><Relationship Id="rId38" Type="http://schemas.openxmlformats.org/officeDocument/2006/relationships/hyperlink" Target="https://www.scopus.com/inward/record.uri?eid=2-s2.0-85141146548&amp;doi=10.1007%2fs11259-022-10032-7&amp;partnerID=40&amp;md5=cdde964de07a950760d18b04b99495d5" TargetMode="External"/><Relationship Id="rId46" Type="http://schemas.openxmlformats.org/officeDocument/2006/relationships/hyperlink" Target="https://www.scopus.com/inward/record.uri?eid=2-s2.0-85105922622&amp;doi=10.3390%2fantibiotics10050518&amp;partnerID=40&amp;md5=9c058d347b60ffc166dd4b66debc5547" TargetMode="External"/><Relationship Id="rId20" Type="http://schemas.openxmlformats.org/officeDocument/2006/relationships/hyperlink" Target="https://www.scopus.com/inward/record.uri?eid=2-s2.0-85081274662&amp;doi=10.1111%2fvde.12844&amp;partnerID=40&amp;md5=fc556175d571af2e2d86615c8ad7549c" TargetMode="External"/><Relationship Id="rId41" Type="http://schemas.openxmlformats.org/officeDocument/2006/relationships/hyperlink" Target="https://www.scopus.com/inward/record.uri?eid=2-s2.0-85111079816&amp;doi=10.3390%2fantibiotics10070846&amp;partnerID=40&amp;md5=bd58aedb6413be96e2a7d3a0029f7b65" TargetMode="External"/><Relationship Id="rId54" Type="http://schemas.openxmlformats.org/officeDocument/2006/relationships/hyperlink" Target="https://www.scopus.com/inward/record.uri?eid=2-s2.0-85075305267&amp;doi=10.1111%2fvde.12808&amp;partnerID=40&amp;md5=6793c299785897ae8877bce18a90567b" TargetMode="External"/><Relationship Id="rId1" Type="http://schemas.openxmlformats.org/officeDocument/2006/relationships/hyperlink" Target="https://www.scopus.com/inward/record.uri?eid=2-s2.0-85071718481&amp;partnerID=40&amp;md5=4bac6e4d4a713d44ed573f56fa4607b4" TargetMode="External"/><Relationship Id="rId6" Type="http://schemas.openxmlformats.org/officeDocument/2006/relationships/hyperlink" Target="https://www.scopus.com/inward/record.uri?eid=2-s2.0-85045091115&amp;doi=10.1016%2fj.tvjl.2018.04.002&amp;partnerID=40&amp;md5=4fe6128ee9006af86c393ad97566b6d8" TargetMode="External"/><Relationship Id="rId15" Type="http://schemas.openxmlformats.org/officeDocument/2006/relationships/hyperlink" Target="https://www.scopus.com/inward/record.uri?eid=2-s2.0-84895905398&amp;doi=10.1016%2fj.tvjl.2013.11.014&amp;partnerID=40&amp;md5=0f6393859bfa4f2ebb7c4c6509ca1d29" TargetMode="External"/><Relationship Id="rId23" Type="http://schemas.openxmlformats.org/officeDocument/2006/relationships/hyperlink" Target="https://www.scopus.com/inward/record.uri?eid=2-s2.0-84907458333&amp;doi=10.1089%2fmdr.2013.0217&amp;partnerID=40&amp;md5=1d131cadf250d118e6923fea7a973786" TargetMode="External"/><Relationship Id="rId28" Type="http://schemas.openxmlformats.org/officeDocument/2006/relationships/hyperlink" Target="https://www.scopus.com/inward/record.uri?eid=2-s2.0-85132930914&amp;doi=10.3390%2fvetsci9070306&amp;partnerID=40&amp;md5=64e245a544b04ecf4b31c30d1db9f5e0" TargetMode="External"/><Relationship Id="rId36" Type="http://schemas.openxmlformats.org/officeDocument/2006/relationships/hyperlink" Target="https://www.scopus.com/inward/record.uri?eid=2-s2.0-84996931171&amp;doi=10.1111%2favj.12528&amp;partnerID=40&amp;md5=6af20262dddbabad9956ae3a5364ff01" TargetMode="External"/><Relationship Id="rId49" Type="http://schemas.openxmlformats.org/officeDocument/2006/relationships/hyperlink" Target="https://www.scopus.com/inward/record.uri?eid=2-s2.0-84960241749&amp;doi=10.1111%2fvde.12290&amp;partnerID=40&amp;md5=29ac5ba79f388d69bb5f37ab1f10fa73"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56"/>
  <sheetViews>
    <sheetView tabSelected="1" workbookViewId="0">
      <selection activeCell="A57" sqref="A57"/>
    </sheetView>
  </sheetViews>
  <sheetFormatPr baseColWidth="10" defaultColWidth="14.44140625" defaultRowHeight="15.75" customHeight="1" x14ac:dyDescent="0.3"/>
  <cols>
    <col min="6" max="6" width="25.77734375" customWidth="1"/>
  </cols>
  <sheetData>
    <row r="1" spans="1:22"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2" ht="15.75" customHeight="1" x14ac:dyDescent="0.3">
      <c r="A2" s="1" t="s">
        <v>30</v>
      </c>
      <c r="B2" s="1" t="s">
        <v>31</v>
      </c>
      <c r="C2" s="1" t="s">
        <v>32</v>
      </c>
      <c r="D2" s="13" t="s">
        <v>33</v>
      </c>
      <c r="E2" s="1">
        <v>2013</v>
      </c>
      <c r="F2" s="1" t="s">
        <v>34</v>
      </c>
      <c r="G2" s="1">
        <v>24</v>
      </c>
      <c r="H2" s="1">
        <v>1</v>
      </c>
      <c r="J2" s="1">
        <v>154</v>
      </c>
      <c r="K2" s="1" t="s">
        <v>35</v>
      </c>
      <c r="L2" s="1">
        <v>-120</v>
      </c>
      <c r="M2" s="1">
        <v>36</v>
      </c>
      <c r="N2" s="1" t="s">
        <v>36</v>
      </c>
      <c r="O2" s="6" t="s">
        <v>37</v>
      </c>
      <c r="P2" s="1" t="s">
        <v>26</v>
      </c>
      <c r="Q2" s="1" t="s">
        <v>27</v>
      </c>
      <c r="S2" s="1" t="s">
        <v>28</v>
      </c>
      <c r="T2" s="1" t="s">
        <v>38</v>
      </c>
      <c r="V2" s="7"/>
    </row>
    <row r="3" spans="1:22" ht="15.75" customHeight="1" x14ac:dyDescent="0.3">
      <c r="A3" s="1" t="s">
        <v>48</v>
      </c>
      <c r="B3" s="1" t="s">
        <v>49</v>
      </c>
      <c r="C3" s="1" t="s">
        <v>50</v>
      </c>
      <c r="D3" s="1" t="s">
        <v>51</v>
      </c>
      <c r="E3" s="5">
        <v>2013</v>
      </c>
      <c r="F3" s="1" t="s">
        <v>52</v>
      </c>
      <c r="G3" s="1">
        <v>43</v>
      </c>
      <c r="H3" s="1">
        <v>1</v>
      </c>
      <c r="J3" s="1" t="s">
        <v>53</v>
      </c>
      <c r="K3" s="1" t="s">
        <v>54</v>
      </c>
      <c r="M3" s="1">
        <v>2</v>
      </c>
      <c r="N3" s="1" t="s">
        <v>55</v>
      </c>
      <c r="O3" s="2" t="s">
        <v>56</v>
      </c>
      <c r="P3" s="1" t="s">
        <v>57</v>
      </c>
      <c r="Q3" s="1" t="s">
        <v>27</v>
      </c>
      <c r="S3" s="1" t="s">
        <v>28</v>
      </c>
      <c r="T3" s="1" t="s">
        <v>58</v>
      </c>
    </row>
    <row r="4" spans="1:22" ht="15.75" customHeight="1" x14ac:dyDescent="0.3">
      <c r="A4" s="1" t="s">
        <v>209</v>
      </c>
      <c r="B4" s="1" t="s">
        <v>210</v>
      </c>
      <c r="C4" s="1" t="s">
        <v>211</v>
      </c>
      <c r="D4" s="1" t="s">
        <v>212</v>
      </c>
      <c r="E4" s="11">
        <v>2013</v>
      </c>
      <c r="F4" s="1" t="s">
        <v>103</v>
      </c>
      <c r="G4" s="1">
        <v>27</v>
      </c>
      <c r="H4" s="1">
        <v>3</v>
      </c>
      <c r="J4" s="1">
        <v>53</v>
      </c>
      <c r="K4" s="1">
        <v>59</v>
      </c>
      <c r="L4" s="1">
        <v>6</v>
      </c>
      <c r="M4" s="1">
        <v>0</v>
      </c>
      <c r="O4" s="2" t="s">
        <v>213</v>
      </c>
      <c r="P4" s="1" t="s">
        <v>26</v>
      </c>
      <c r="Q4" s="1" t="s">
        <v>27</v>
      </c>
      <c r="S4" s="1" t="s">
        <v>28</v>
      </c>
      <c r="T4" s="1" t="s">
        <v>214</v>
      </c>
    </row>
    <row r="5" spans="1:22" ht="15.75" customHeight="1" x14ac:dyDescent="0.3">
      <c r="A5" s="1" t="s">
        <v>209</v>
      </c>
      <c r="B5" s="1" t="s">
        <v>210</v>
      </c>
      <c r="C5" s="1" t="s">
        <v>211</v>
      </c>
      <c r="D5" s="1" t="s">
        <v>246</v>
      </c>
      <c r="E5" s="11">
        <v>2013</v>
      </c>
      <c r="F5" s="1" t="s">
        <v>103</v>
      </c>
      <c r="G5" s="1">
        <v>27</v>
      </c>
      <c r="H5" s="1">
        <v>3</v>
      </c>
      <c r="J5" s="1">
        <v>41</v>
      </c>
      <c r="K5" s="1">
        <v>51</v>
      </c>
      <c r="L5" s="1">
        <v>10</v>
      </c>
      <c r="M5" s="1">
        <v>0</v>
      </c>
      <c r="O5" s="2" t="s">
        <v>247</v>
      </c>
      <c r="P5" s="1" t="s">
        <v>26</v>
      </c>
      <c r="Q5" s="1" t="s">
        <v>27</v>
      </c>
      <c r="S5" s="1" t="s">
        <v>28</v>
      </c>
      <c r="T5" s="1" t="s">
        <v>248</v>
      </c>
    </row>
    <row r="6" spans="1:22" ht="15.75" customHeight="1" x14ac:dyDescent="0.3">
      <c r="A6" s="1" t="s">
        <v>249</v>
      </c>
      <c r="B6" s="1" t="s">
        <v>250</v>
      </c>
      <c r="C6" s="1">
        <v>36781861500</v>
      </c>
      <c r="D6" s="1" t="s">
        <v>251</v>
      </c>
      <c r="E6" s="5">
        <v>2013</v>
      </c>
      <c r="F6" s="1" t="s">
        <v>52</v>
      </c>
      <c r="G6" s="1">
        <v>43</v>
      </c>
      <c r="H6" s="1">
        <v>1</v>
      </c>
      <c r="J6" s="1">
        <v>19</v>
      </c>
      <c r="K6" s="1">
        <v>40</v>
      </c>
      <c r="L6" s="1">
        <v>21</v>
      </c>
      <c r="M6" s="1">
        <v>44</v>
      </c>
      <c r="N6" s="1" t="s">
        <v>252</v>
      </c>
      <c r="O6" s="2" t="s">
        <v>253</v>
      </c>
      <c r="P6" s="1" t="s">
        <v>74</v>
      </c>
      <c r="Q6" s="1" t="s">
        <v>27</v>
      </c>
      <c r="S6" s="1" t="s">
        <v>28</v>
      </c>
      <c r="T6" s="1" t="s">
        <v>254</v>
      </c>
    </row>
    <row r="7" spans="1:22" ht="15.75" customHeight="1" x14ac:dyDescent="0.3">
      <c r="A7" s="1" t="s">
        <v>388</v>
      </c>
      <c r="B7" s="1" t="s">
        <v>389</v>
      </c>
      <c r="C7" s="1" t="s">
        <v>390</v>
      </c>
      <c r="D7" s="13" t="s">
        <v>391</v>
      </c>
      <c r="E7" s="1">
        <v>2013</v>
      </c>
      <c r="F7" s="1" t="s">
        <v>292</v>
      </c>
      <c r="G7" s="1">
        <v>84</v>
      </c>
      <c r="H7" s="1">
        <v>1</v>
      </c>
      <c r="I7" s="1" t="s">
        <v>392</v>
      </c>
      <c r="M7" s="1">
        <v>11</v>
      </c>
      <c r="N7" s="1" t="s">
        <v>393</v>
      </c>
      <c r="O7" s="2" t="s">
        <v>394</v>
      </c>
      <c r="P7" s="1" t="s">
        <v>26</v>
      </c>
      <c r="Q7" s="1" t="s">
        <v>27</v>
      </c>
      <c r="R7" s="1" t="s">
        <v>176</v>
      </c>
      <c r="S7" s="1" t="s">
        <v>28</v>
      </c>
      <c r="T7" s="1" t="s">
        <v>395</v>
      </c>
    </row>
    <row r="8" spans="1:22" ht="13.8" x14ac:dyDescent="0.3">
      <c r="A8" s="1" t="s">
        <v>100</v>
      </c>
      <c r="B8" s="1" t="s">
        <v>101</v>
      </c>
      <c r="C8" s="1">
        <v>7006495343</v>
      </c>
      <c r="D8" s="1" t="s">
        <v>102</v>
      </c>
      <c r="E8" s="11">
        <v>2014</v>
      </c>
      <c r="F8" s="1" t="s">
        <v>103</v>
      </c>
      <c r="G8" s="1">
        <v>28</v>
      </c>
      <c r="H8" s="1">
        <v>4</v>
      </c>
      <c r="J8" s="1">
        <v>7</v>
      </c>
      <c r="K8" s="1">
        <v>12</v>
      </c>
      <c r="L8" s="1">
        <v>5</v>
      </c>
      <c r="M8" s="1">
        <v>0</v>
      </c>
      <c r="O8" s="2" t="s">
        <v>104</v>
      </c>
      <c r="P8" s="1" t="s">
        <v>26</v>
      </c>
      <c r="Q8" s="1" t="s">
        <v>27</v>
      </c>
      <c r="S8" s="1" t="s">
        <v>28</v>
      </c>
      <c r="T8" s="1" t="s">
        <v>105</v>
      </c>
    </row>
    <row r="9" spans="1:22" ht="13.8" x14ac:dyDescent="0.3">
      <c r="A9" s="1" t="s">
        <v>106</v>
      </c>
      <c r="B9" s="1" t="s">
        <v>107</v>
      </c>
      <c r="C9" s="1" t="s">
        <v>108</v>
      </c>
      <c r="D9" s="1" t="s">
        <v>109</v>
      </c>
      <c r="E9" s="14">
        <v>2014</v>
      </c>
      <c r="F9" s="1" t="s">
        <v>110</v>
      </c>
      <c r="G9" s="1">
        <v>20</v>
      </c>
      <c r="H9" s="1">
        <v>4</v>
      </c>
      <c r="J9" s="1">
        <v>364</v>
      </c>
      <c r="K9" s="1">
        <v>371</v>
      </c>
      <c r="L9" s="1">
        <v>7</v>
      </c>
      <c r="M9" s="1">
        <v>30</v>
      </c>
      <c r="N9" s="1" t="s">
        <v>111</v>
      </c>
      <c r="O9" s="2" t="s">
        <v>112</v>
      </c>
      <c r="P9" s="1" t="s">
        <v>26</v>
      </c>
      <c r="Q9" s="1" t="s">
        <v>27</v>
      </c>
      <c r="R9" s="1" t="s">
        <v>75</v>
      </c>
      <c r="S9" s="1" t="s">
        <v>28</v>
      </c>
      <c r="T9" s="1" t="s">
        <v>113</v>
      </c>
    </row>
    <row r="10" spans="1:22" ht="13.8" x14ac:dyDescent="0.3">
      <c r="A10" s="1" t="s">
        <v>139</v>
      </c>
      <c r="B10" s="1" t="s">
        <v>140</v>
      </c>
      <c r="C10" s="1">
        <v>11639062100</v>
      </c>
      <c r="D10" s="1" t="s">
        <v>141</v>
      </c>
      <c r="E10" s="5">
        <v>2014</v>
      </c>
      <c r="F10" s="1" t="s">
        <v>71</v>
      </c>
      <c r="G10" s="1">
        <v>199</v>
      </c>
      <c r="H10" s="1">
        <v>2</v>
      </c>
      <c r="J10" s="1">
        <v>217</v>
      </c>
      <c r="K10" s="1">
        <v>222</v>
      </c>
      <c r="L10" s="1">
        <v>5</v>
      </c>
      <c r="M10" s="1">
        <v>38</v>
      </c>
      <c r="N10" s="1" t="s">
        <v>142</v>
      </c>
      <c r="O10" s="2" t="s">
        <v>143</v>
      </c>
      <c r="P10" s="1" t="s">
        <v>74</v>
      </c>
      <c r="Q10" s="1" t="s">
        <v>27</v>
      </c>
      <c r="S10" s="1" t="s">
        <v>28</v>
      </c>
      <c r="T10" s="1" t="s">
        <v>144</v>
      </c>
    </row>
    <row r="11" spans="1:22" ht="13.8" x14ac:dyDescent="0.3">
      <c r="A11" s="1" t="s">
        <v>202</v>
      </c>
      <c r="B11" s="1" t="s">
        <v>203</v>
      </c>
      <c r="C11" s="1" t="s">
        <v>204</v>
      </c>
      <c r="D11" s="1" t="s">
        <v>205</v>
      </c>
      <c r="E11" s="14">
        <v>2014</v>
      </c>
      <c r="F11" s="1" t="s">
        <v>110</v>
      </c>
      <c r="G11" s="1">
        <v>20</v>
      </c>
      <c r="H11" s="1">
        <v>5</v>
      </c>
      <c r="J11" s="1">
        <v>501</v>
      </c>
      <c r="K11" s="1">
        <v>507</v>
      </c>
      <c r="L11" s="1">
        <v>6</v>
      </c>
      <c r="M11" s="1">
        <v>19</v>
      </c>
      <c r="N11" s="1" t="s">
        <v>206</v>
      </c>
      <c r="O11" s="2" t="s">
        <v>207</v>
      </c>
      <c r="P11" s="1" t="s">
        <v>26</v>
      </c>
      <c r="Q11" s="1" t="s">
        <v>27</v>
      </c>
      <c r="S11" s="1" t="s">
        <v>28</v>
      </c>
      <c r="T11" s="1" t="s">
        <v>208</v>
      </c>
    </row>
    <row r="12" spans="1:22" ht="13.8" x14ac:dyDescent="0.3">
      <c r="A12" s="1" t="s">
        <v>153</v>
      </c>
      <c r="B12" s="1" t="s">
        <v>154</v>
      </c>
      <c r="C12" s="1" t="s">
        <v>155</v>
      </c>
      <c r="D12" s="1" t="s">
        <v>156</v>
      </c>
      <c r="E12" s="4">
        <v>2015</v>
      </c>
      <c r="F12" s="1" t="s">
        <v>34</v>
      </c>
      <c r="G12" s="1">
        <v>26</v>
      </c>
      <c r="H12" s="1">
        <v>3</v>
      </c>
      <c r="J12" s="1">
        <v>202</v>
      </c>
      <c r="K12" s="1" t="s">
        <v>157</v>
      </c>
      <c r="L12" s="1">
        <v>-158</v>
      </c>
      <c r="M12" s="1">
        <v>11</v>
      </c>
      <c r="N12" s="1" t="s">
        <v>158</v>
      </c>
      <c r="O12" s="2" t="s">
        <v>159</v>
      </c>
      <c r="P12" s="1" t="s">
        <v>26</v>
      </c>
      <c r="Q12" s="1" t="s">
        <v>27</v>
      </c>
      <c r="S12" s="1" t="s">
        <v>28</v>
      </c>
      <c r="T12" s="1" t="s">
        <v>160</v>
      </c>
    </row>
    <row r="13" spans="1:22" ht="13.8" x14ac:dyDescent="0.3">
      <c r="A13" s="1" t="s">
        <v>255</v>
      </c>
      <c r="B13" s="1" t="s">
        <v>256</v>
      </c>
      <c r="C13" s="1" t="s">
        <v>257</v>
      </c>
      <c r="D13" s="1" t="s">
        <v>258</v>
      </c>
      <c r="E13" s="4">
        <v>2015</v>
      </c>
      <c r="F13" s="1" t="s">
        <v>34</v>
      </c>
      <c r="G13" s="1">
        <v>26</v>
      </c>
      <c r="H13" s="1">
        <v>4</v>
      </c>
      <c r="J13" s="1">
        <v>287</v>
      </c>
      <c r="K13" s="1" t="s">
        <v>259</v>
      </c>
      <c r="L13" s="1">
        <v>28977</v>
      </c>
      <c r="M13" s="1">
        <v>16</v>
      </c>
      <c r="N13" s="1" t="s">
        <v>260</v>
      </c>
      <c r="O13" s="2" t="s">
        <v>261</v>
      </c>
      <c r="P13" s="1" t="s">
        <v>26</v>
      </c>
      <c r="Q13" s="1" t="s">
        <v>27</v>
      </c>
      <c r="S13" s="1" t="s">
        <v>28</v>
      </c>
      <c r="T13" s="1" t="s">
        <v>262</v>
      </c>
    </row>
    <row r="14" spans="1:22" ht="13.8" x14ac:dyDescent="0.3">
      <c r="A14" s="1" t="s">
        <v>304</v>
      </c>
      <c r="B14" s="1" t="s">
        <v>305</v>
      </c>
      <c r="C14" s="1" t="s">
        <v>306</v>
      </c>
      <c r="D14" s="1" t="s">
        <v>307</v>
      </c>
      <c r="E14" s="14">
        <v>2015</v>
      </c>
      <c r="F14" s="1" t="s">
        <v>308</v>
      </c>
      <c r="G14" s="1">
        <v>70</v>
      </c>
      <c r="H14" s="1">
        <v>7</v>
      </c>
      <c r="I14" s="1" t="s">
        <v>309</v>
      </c>
      <c r="J14" s="1">
        <v>2048</v>
      </c>
      <c r="K14" s="1">
        <v>2052</v>
      </c>
      <c r="L14" s="1">
        <v>4</v>
      </c>
      <c r="M14" s="1">
        <v>31</v>
      </c>
      <c r="N14" s="1" t="s">
        <v>310</v>
      </c>
      <c r="O14" s="2" t="s">
        <v>311</v>
      </c>
      <c r="P14" s="1" t="s">
        <v>26</v>
      </c>
      <c r="Q14" s="1" t="s">
        <v>27</v>
      </c>
      <c r="R14" s="1" t="s">
        <v>137</v>
      </c>
      <c r="S14" s="1" t="s">
        <v>28</v>
      </c>
      <c r="T14" s="1" t="s">
        <v>312</v>
      </c>
    </row>
    <row r="15" spans="1:22" ht="13.8" x14ac:dyDescent="0.3">
      <c r="A15" s="1" t="s">
        <v>296</v>
      </c>
      <c r="B15" s="1" t="s">
        <v>297</v>
      </c>
      <c r="C15" s="1" t="s">
        <v>298</v>
      </c>
      <c r="D15" s="1" t="s">
        <v>299</v>
      </c>
      <c r="E15" s="4">
        <v>2016</v>
      </c>
      <c r="F15" s="1" t="s">
        <v>300</v>
      </c>
      <c r="G15" s="1">
        <v>94</v>
      </c>
      <c r="H15" s="1">
        <v>12</v>
      </c>
      <c r="J15" s="1">
        <v>456</v>
      </c>
      <c r="K15" s="1">
        <v>460</v>
      </c>
      <c r="L15" s="1">
        <v>4</v>
      </c>
      <c r="M15" s="1">
        <v>34</v>
      </c>
      <c r="N15" s="1" t="s">
        <v>301</v>
      </c>
      <c r="O15" s="2" t="s">
        <v>302</v>
      </c>
      <c r="P15" s="1" t="s">
        <v>26</v>
      </c>
      <c r="Q15" s="1" t="s">
        <v>27</v>
      </c>
      <c r="S15" s="1" t="s">
        <v>28</v>
      </c>
      <c r="T15" s="1" t="s">
        <v>303</v>
      </c>
    </row>
    <row r="16" spans="1:22" ht="13.8" x14ac:dyDescent="0.3">
      <c r="A16" s="1" t="s">
        <v>396</v>
      </c>
      <c r="B16" s="1" t="s">
        <v>397</v>
      </c>
      <c r="C16" s="1" t="s">
        <v>398</v>
      </c>
      <c r="D16" s="13" t="s">
        <v>399</v>
      </c>
      <c r="E16" s="1">
        <v>2016</v>
      </c>
      <c r="F16" s="1" t="s">
        <v>34</v>
      </c>
      <c r="G16" s="1">
        <v>27</v>
      </c>
      <c r="H16" s="1">
        <v>2</v>
      </c>
      <c r="J16" s="1">
        <v>113</v>
      </c>
      <c r="K16" s="1" t="s">
        <v>400</v>
      </c>
      <c r="L16" s="1">
        <v>-82</v>
      </c>
      <c r="M16" s="1">
        <v>26</v>
      </c>
      <c r="N16" s="1" t="s">
        <v>401</v>
      </c>
      <c r="O16" s="2" t="s">
        <v>402</v>
      </c>
      <c r="P16" s="1" t="s">
        <v>26</v>
      </c>
      <c r="Q16" s="1" t="s">
        <v>27</v>
      </c>
      <c r="S16" s="1" t="s">
        <v>28</v>
      </c>
      <c r="T16" s="1" t="s">
        <v>403</v>
      </c>
    </row>
    <row r="17" spans="1:20" ht="13.8" x14ac:dyDescent="0.3">
      <c r="A17" s="1" t="s">
        <v>114</v>
      </c>
      <c r="B17" s="1" t="s">
        <v>115</v>
      </c>
      <c r="C17" s="1" t="s">
        <v>116</v>
      </c>
      <c r="D17" s="13" t="s">
        <v>117</v>
      </c>
      <c r="E17" s="1">
        <v>2017</v>
      </c>
      <c r="F17" s="1" t="s">
        <v>118</v>
      </c>
      <c r="G17" s="1">
        <v>211</v>
      </c>
      <c r="J17" s="1">
        <v>103</v>
      </c>
      <c r="K17" s="1">
        <v>106</v>
      </c>
      <c r="L17" s="1">
        <v>3</v>
      </c>
      <c r="M17" s="1">
        <v>31</v>
      </c>
      <c r="N17" s="1" t="s">
        <v>119</v>
      </c>
      <c r="O17" s="2" t="s">
        <v>120</v>
      </c>
      <c r="P17" s="1" t="s">
        <v>26</v>
      </c>
      <c r="Q17" s="1" t="s">
        <v>27</v>
      </c>
      <c r="S17" s="1" t="s">
        <v>28</v>
      </c>
      <c r="T17" s="1" t="s">
        <v>121</v>
      </c>
    </row>
    <row r="18" spans="1:20" ht="13.8" x14ac:dyDescent="0.3">
      <c r="A18" s="1" t="s">
        <v>366</v>
      </c>
      <c r="B18" s="1" t="s">
        <v>367</v>
      </c>
      <c r="C18" s="1" t="s">
        <v>368</v>
      </c>
      <c r="D18" s="1" t="s">
        <v>369</v>
      </c>
      <c r="E18" s="11">
        <v>2017</v>
      </c>
      <c r="F18" s="1" t="s">
        <v>370</v>
      </c>
      <c r="G18" s="1">
        <v>122</v>
      </c>
      <c r="H18" s="1">
        <v>2</v>
      </c>
      <c r="J18" s="1">
        <v>331</v>
      </c>
      <c r="K18" s="1">
        <v>337</v>
      </c>
      <c r="L18" s="1">
        <v>6</v>
      </c>
      <c r="M18" s="1">
        <v>9</v>
      </c>
      <c r="N18" s="1" t="s">
        <v>371</v>
      </c>
      <c r="O18" s="2" t="s">
        <v>372</v>
      </c>
      <c r="P18" s="1" t="s">
        <v>26</v>
      </c>
      <c r="Q18" s="1" t="s">
        <v>27</v>
      </c>
      <c r="R18" s="1" t="s">
        <v>193</v>
      </c>
      <c r="S18" s="1" t="s">
        <v>28</v>
      </c>
      <c r="T18" s="1" t="s">
        <v>373</v>
      </c>
    </row>
    <row r="19" spans="1:20" ht="13.8" x14ac:dyDescent="0.3">
      <c r="A19" s="1" t="s">
        <v>67</v>
      </c>
      <c r="B19" s="1" t="s">
        <v>68</v>
      </c>
      <c r="C19" s="1" t="s">
        <v>69</v>
      </c>
      <c r="D19" s="1" t="s">
        <v>70</v>
      </c>
      <c r="E19" s="5">
        <v>2018</v>
      </c>
      <c r="F19" s="1" t="s">
        <v>71</v>
      </c>
      <c r="G19" s="1">
        <v>235</v>
      </c>
      <c r="J19" s="1">
        <v>73</v>
      </c>
      <c r="K19" s="1">
        <v>82</v>
      </c>
      <c r="L19" s="1">
        <v>9</v>
      </c>
      <c r="M19" s="1">
        <v>75</v>
      </c>
      <c r="N19" s="1" t="s">
        <v>72</v>
      </c>
      <c r="O19" s="2" t="s">
        <v>73</v>
      </c>
      <c r="P19" s="1" t="s">
        <v>74</v>
      </c>
      <c r="Q19" s="1" t="s">
        <v>27</v>
      </c>
      <c r="R19" s="1" t="s">
        <v>75</v>
      </c>
      <c r="S19" s="1" t="s">
        <v>28</v>
      </c>
      <c r="T19" s="1" t="s">
        <v>76</v>
      </c>
    </row>
    <row r="20" spans="1:20" ht="13.8" x14ac:dyDescent="0.3">
      <c r="A20" s="1" t="s">
        <v>77</v>
      </c>
      <c r="B20" s="1" t="s">
        <v>78</v>
      </c>
      <c r="C20" s="1" t="s">
        <v>79</v>
      </c>
      <c r="D20" s="13" t="s">
        <v>80</v>
      </c>
      <c r="E20" s="1">
        <v>2018</v>
      </c>
      <c r="F20" s="1" t="s">
        <v>34</v>
      </c>
      <c r="G20" s="1">
        <v>29</v>
      </c>
      <c r="H20" s="1">
        <v>5</v>
      </c>
      <c r="J20" s="1">
        <v>457</v>
      </c>
      <c r="K20" s="1" t="s">
        <v>81</v>
      </c>
      <c r="L20" s="1">
        <v>-301</v>
      </c>
      <c r="M20" s="1">
        <v>11</v>
      </c>
      <c r="N20" s="1" t="s">
        <v>82</v>
      </c>
      <c r="O20" s="2" t="s">
        <v>83</v>
      </c>
      <c r="P20" s="1" t="s">
        <v>26</v>
      </c>
      <c r="Q20" s="1" t="s">
        <v>27</v>
      </c>
      <c r="S20" s="1" t="s">
        <v>28</v>
      </c>
      <c r="T20" s="1" t="s">
        <v>84</v>
      </c>
    </row>
    <row r="21" spans="1:20" ht="13.8" x14ac:dyDescent="0.3">
      <c r="A21" s="1" t="s">
        <v>279</v>
      </c>
      <c r="B21" s="1" t="s">
        <v>280</v>
      </c>
      <c r="C21" s="1" t="s">
        <v>281</v>
      </c>
      <c r="D21" s="1" t="s">
        <v>282</v>
      </c>
      <c r="E21" s="11">
        <v>2018</v>
      </c>
      <c r="F21" s="1" t="s">
        <v>283</v>
      </c>
      <c r="G21" s="1">
        <v>30</v>
      </c>
      <c r="H21" s="1">
        <v>3</v>
      </c>
      <c r="J21" s="1">
        <v>447</v>
      </c>
      <c r="K21" s="1">
        <v>450</v>
      </c>
      <c r="L21" s="1">
        <v>3</v>
      </c>
      <c r="M21" s="1">
        <v>7</v>
      </c>
      <c r="N21" s="1" t="s">
        <v>284</v>
      </c>
      <c r="O21" s="2" t="s">
        <v>285</v>
      </c>
      <c r="P21" s="1" t="s">
        <v>26</v>
      </c>
      <c r="Q21" s="1" t="s">
        <v>27</v>
      </c>
      <c r="R21" s="1" t="s">
        <v>286</v>
      </c>
      <c r="S21" s="1" t="s">
        <v>28</v>
      </c>
      <c r="T21" s="1" t="s">
        <v>287</v>
      </c>
    </row>
    <row r="22" spans="1:20" ht="13.8" x14ac:dyDescent="0.3">
      <c r="A22" s="1" t="s">
        <v>358</v>
      </c>
      <c r="B22" s="1" t="s">
        <v>359</v>
      </c>
      <c r="C22" s="1" t="s">
        <v>360</v>
      </c>
      <c r="D22" s="1" t="s">
        <v>361</v>
      </c>
      <c r="E22" s="1">
        <v>2018</v>
      </c>
      <c r="F22" s="1" t="s">
        <v>34</v>
      </c>
      <c r="G22" s="1">
        <v>29</v>
      </c>
      <c r="H22" s="1">
        <v>2</v>
      </c>
      <c r="J22" s="1">
        <v>95</v>
      </c>
      <c r="K22" s="1" t="s">
        <v>362</v>
      </c>
      <c r="L22" s="1">
        <v>-58</v>
      </c>
      <c r="M22" s="1">
        <v>7</v>
      </c>
      <c r="N22" s="1" t="s">
        <v>363</v>
      </c>
      <c r="O22" s="2" t="s">
        <v>364</v>
      </c>
      <c r="P22" s="1" t="s">
        <v>26</v>
      </c>
      <c r="Q22" s="1" t="s">
        <v>27</v>
      </c>
      <c r="S22" s="1" t="s">
        <v>28</v>
      </c>
      <c r="T22" s="1" t="s">
        <v>365</v>
      </c>
    </row>
    <row r="23" spans="1:20" ht="13.8" x14ac:dyDescent="0.3">
      <c r="A23" s="1" t="s">
        <v>404</v>
      </c>
      <c r="B23" s="1" t="s">
        <v>405</v>
      </c>
      <c r="C23" s="1" t="s">
        <v>406</v>
      </c>
      <c r="D23" s="1" t="s">
        <v>407</v>
      </c>
      <c r="E23" s="11">
        <v>2018</v>
      </c>
      <c r="F23" s="1" t="s">
        <v>71</v>
      </c>
      <c r="G23" s="1">
        <v>235</v>
      </c>
      <c r="J23" s="1">
        <v>70</v>
      </c>
      <c r="K23" s="1">
        <v>72</v>
      </c>
      <c r="L23" s="1">
        <v>2</v>
      </c>
      <c r="M23" s="1">
        <v>8</v>
      </c>
      <c r="N23" s="1" t="s">
        <v>408</v>
      </c>
      <c r="O23" s="2" t="s">
        <v>409</v>
      </c>
      <c r="P23" s="1" t="s">
        <v>26</v>
      </c>
      <c r="Q23" s="1" t="s">
        <v>27</v>
      </c>
      <c r="S23" s="1" t="s">
        <v>28</v>
      </c>
      <c r="T23" s="1" t="s">
        <v>410</v>
      </c>
    </row>
    <row r="24" spans="1:20" ht="13.8" x14ac:dyDescent="0.3">
      <c r="A24" s="1" t="s">
        <v>427</v>
      </c>
      <c r="B24" s="1" t="s">
        <v>428</v>
      </c>
      <c r="C24" s="1" t="s">
        <v>429</v>
      </c>
      <c r="D24" s="1" t="s">
        <v>430</v>
      </c>
      <c r="E24" s="14">
        <v>2018</v>
      </c>
      <c r="F24" s="1" t="s">
        <v>34</v>
      </c>
      <c r="G24" s="1">
        <v>29</v>
      </c>
      <c r="H24" s="1">
        <v>3</v>
      </c>
      <c r="J24" s="1">
        <v>192</v>
      </c>
      <c r="K24" s="1" t="s">
        <v>431</v>
      </c>
      <c r="L24" s="1">
        <v>-122</v>
      </c>
      <c r="M24" s="1">
        <v>4</v>
      </c>
      <c r="N24" s="1" t="s">
        <v>432</v>
      </c>
      <c r="O24" s="2" t="s">
        <v>433</v>
      </c>
      <c r="P24" s="1" t="s">
        <v>26</v>
      </c>
      <c r="Q24" s="1" t="s">
        <v>27</v>
      </c>
      <c r="R24" s="1" t="s">
        <v>193</v>
      </c>
      <c r="S24" s="1" t="s">
        <v>28</v>
      </c>
      <c r="T24" s="1" t="s">
        <v>434</v>
      </c>
    </row>
    <row r="25" spans="1:20" ht="13.8" x14ac:dyDescent="0.3">
      <c r="A25" s="1" t="s">
        <v>442</v>
      </c>
      <c r="B25" s="1" t="s">
        <v>443</v>
      </c>
      <c r="C25" s="1" t="s">
        <v>444</v>
      </c>
      <c r="D25" s="1" t="s">
        <v>445</v>
      </c>
      <c r="E25" s="14">
        <v>2018</v>
      </c>
      <c r="F25" s="1" t="s">
        <v>446</v>
      </c>
      <c r="G25" s="1">
        <v>24</v>
      </c>
      <c r="H25" s="1">
        <v>7</v>
      </c>
      <c r="I25" s="1" t="s">
        <v>447</v>
      </c>
      <c r="M25" s="1">
        <v>10</v>
      </c>
      <c r="N25" s="1" t="s">
        <v>448</v>
      </c>
      <c r="O25" s="2" t="s">
        <v>449</v>
      </c>
      <c r="P25" s="1" t="s">
        <v>26</v>
      </c>
      <c r="Q25" s="1" t="s">
        <v>27</v>
      </c>
      <c r="S25" s="1" t="s">
        <v>28</v>
      </c>
      <c r="T25" s="1" t="s">
        <v>450</v>
      </c>
    </row>
    <row r="26" spans="1:20" ht="13.8" x14ac:dyDescent="0.3">
      <c r="A26" s="1" t="s">
        <v>20</v>
      </c>
      <c r="B26" s="1" t="s">
        <v>21</v>
      </c>
      <c r="C26" s="1" t="s">
        <v>22</v>
      </c>
      <c r="D26" s="1" t="s">
        <v>23</v>
      </c>
      <c r="E26" s="14">
        <v>2019</v>
      </c>
      <c r="F26" s="1" t="s">
        <v>24</v>
      </c>
      <c r="G26" s="1">
        <v>96</v>
      </c>
      <c r="H26" s="1">
        <v>7</v>
      </c>
      <c r="J26" s="1">
        <v>49</v>
      </c>
      <c r="K26" s="1">
        <v>50</v>
      </c>
      <c r="L26" s="1">
        <v>1</v>
      </c>
      <c r="M26" s="1">
        <v>0</v>
      </c>
      <c r="O26" s="2" t="s">
        <v>25</v>
      </c>
      <c r="P26" s="1" t="s">
        <v>26</v>
      </c>
      <c r="Q26" s="1" t="s">
        <v>27</v>
      </c>
      <c r="S26" s="1" t="s">
        <v>28</v>
      </c>
      <c r="T26" s="1" t="s">
        <v>29</v>
      </c>
    </row>
    <row r="27" spans="1:20" ht="13.8" x14ac:dyDescent="0.3">
      <c r="A27" s="1" t="s">
        <v>85</v>
      </c>
      <c r="B27" s="1" t="s">
        <v>86</v>
      </c>
      <c r="C27" s="1" t="s">
        <v>87</v>
      </c>
      <c r="D27" s="1" t="s">
        <v>88</v>
      </c>
      <c r="E27" s="11">
        <v>2019</v>
      </c>
      <c r="F27" s="1" t="s">
        <v>89</v>
      </c>
      <c r="G27" s="1">
        <v>9</v>
      </c>
      <c r="H27" s="1">
        <v>1</v>
      </c>
      <c r="I27" s="1">
        <v>3679</v>
      </c>
      <c r="M27" s="1">
        <v>19</v>
      </c>
      <c r="N27" s="1" t="s">
        <v>90</v>
      </c>
      <c r="O27" s="2" t="s">
        <v>91</v>
      </c>
      <c r="P27" s="1" t="s">
        <v>26</v>
      </c>
      <c r="Q27" s="1" t="s">
        <v>27</v>
      </c>
      <c r="R27" s="1" t="s">
        <v>46</v>
      </c>
      <c r="S27" s="1" t="s">
        <v>28</v>
      </c>
      <c r="T27" s="1" t="s">
        <v>92</v>
      </c>
    </row>
    <row r="28" spans="1:20" ht="13.8" x14ac:dyDescent="0.3">
      <c r="A28" s="1" t="s">
        <v>329</v>
      </c>
      <c r="B28" s="1" t="s">
        <v>330</v>
      </c>
      <c r="C28" s="1" t="s">
        <v>331</v>
      </c>
      <c r="D28" s="1" t="s">
        <v>332</v>
      </c>
      <c r="E28" s="11">
        <v>2019</v>
      </c>
      <c r="F28" s="1" t="s">
        <v>227</v>
      </c>
      <c r="G28" s="1">
        <v>55</v>
      </c>
      <c r="H28" s="1">
        <v>3</v>
      </c>
      <c r="J28" s="1">
        <v>117</v>
      </c>
      <c r="K28" s="1">
        <v>123</v>
      </c>
      <c r="L28" s="1">
        <v>6</v>
      </c>
      <c r="M28" s="1">
        <v>7</v>
      </c>
      <c r="N28" s="1" t="s">
        <v>333</v>
      </c>
      <c r="O28" s="2" t="s">
        <v>334</v>
      </c>
      <c r="P28" s="1" t="s">
        <v>26</v>
      </c>
      <c r="Q28" s="1" t="s">
        <v>27</v>
      </c>
      <c r="S28" s="1" t="s">
        <v>28</v>
      </c>
      <c r="T28" s="1" t="s">
        <v>335</v>
      </c>
    </row>
    <row r="29" spans="1:20" ht="13.8" x14ac:dyDescent="0.3">
      <c r="A29" s="1" t="s">
        <v>130</v>
      </c>
      <c r="B29" s="1" t="s">
        <v>131</v>
      </c>
      <c r="C29" s="1" t="s">
        <v>132</v>
      </c>
      <c r="D29" s="1" t="s">
        <v>133</v>
      </c>
      <c r="E29" s="1">
        <v>2020</v>
      </c>
      <c r="F29" s="1" t="s">
        <v>34</v>
      </c>
      <c r="G29" s="1">
        <v>31</v>
      </c>
      <c r="H29" s="1">
        <v>4</v>
      </c>
      <c r="J29" s="1">
        <v>305</v>
      </c>
      <c r="K29" s="1" t="s">
        <v>134</v>
      </c>
      <c r="L29" s="1">
        <v>-230</v>
      </c>
      <c r="M29" s="1">
        <v>6</v>
      </c>
      <c r="N29" s="1" t="s">
        <v>135</v>
      </c>
      <c r="O29" s="2" t="s">
        <v>136</v>
      </c>
      <c r="P29" s="1" t="s">
        <v>26</v>
      </c>
      <c r="Q29" s="1" t="s">
        <v>27</v>
      </c>
      <c r="R29" s="1" t="s">
        <v>137</v>
      </c>
      <c r="S29" s="1" t="s">
        <v>28</v>
      </c>
      <c r="T29" s="1" t="s">
        <v>138</v>
      </c>
    </row>
    <row r="30" spans="1:20" ht="13.8" x14ac:dyDescent="0.3">
      <c r="A30" s="1" t="s">
        <v>145</v>
      </c>
      <c r="B30" s="1" t="s">
        <v>146</v>
      </c>
      <c r="C30" s="1" t="s">
        <v>147</v>
      </c>
      <c r="D30" s="1" t="s">
        <v>148</v>
      </c>
      <c r="E30" s="1">
        <v>2020</v>
      </c>
      <c r="F30" s="1" t="s">
        <v>149</v>
      </c>
      <c r="G30" s="1">
        <v>7</v>
      </c>
      <c r="I30" s="1">
        <v>376</v>
      </c>
      <c r="M30" s="1">
        <v>29</v>
      </c>
      <c r="N30" s="1" t="s">
        <v>150</v>
      </c>
      <c r="O30" s="2" t="s">
        <v>151</v>
      </c>
      <c r="P30" s="1" t="s">
        <v>26</v>
      </c>
      <c r="Q30" s="1" t="s">
        <v>27</v>
      </c>
      <c r="R30" s="1" t="s">
        <v>46</v>
      </c>
      <c r="S30" s="1" t="s">
        <v>28</v>
      </c>
      <c r="T30" s="1" t="s">
        <v>152</v>
      </c>
    </row>
    <row r="31" spans="1:20" ht="13.8" x14ac:dyDescent="0.3">
      <c r="A31" s="1" t="s">
        <v>178</v>
      </c>
      <c r="B31" s="1" t="s">
        <v>179</v>
      </c>
      <c r="C31" s="1" t="s">
        <v>180</v>
      </c>
      <c r="D31" s="1" t="s">
        <v>181</v>
      </c>
      <c r="E31" s="1">
        <v>2020</v>
      </c>
      <c r="F31" s="1" t="s">
        <v>34</v>
      </c>
      <c r="G31" s="1">
        <v>31</v>
      </c>
      <c r="H31" s="1">
        <v>4</v>
      </c>
      <c r="J31" s="1">
        <v>267</v>
      </c>
      <c r="K31" s="1" t="s">
        <v>182</v>
      </c>
      <c r="L31" s="1">
        <v>-205</v>
      </c>
      <c r="M31" s="1">
        <v>5</v>
      </c>
      <c r="N31" s="1" t="s">
        <v>183</v>
      </c>
      <c r="O31" s="2" t="s">
        <v>184</v>
      </c>
      <c r="P31" s="1" t="s">
        <v>26</v>
      </c>
      <c r="Q31" s="1" t="s">
        <v>27</v>
      </c>
      <c r="S31" s="1" t="s">
        <v>28</v>
      </c>
      <c r="T31" s="1" t="s">
        <v>185</v>
      </c>
    </row>
    <row r="32" spans="1:20" ht="13.8" x14ac:dyDescent="0.3">
      <c r="A32" s="1" t="s">
        <v>186</v>
      </c>
      <c r="B32" s="1" t="s">
        <v>187</v>
      </c>
      <c r="C32" s="1" t="s">
        <v>188</v>
      </c>
      <c r="D32" s="1" t="s">
        <v>189</v>
      </c>
      <c r="E32" s="14">
        <v>2020</v>
      </c>
      <c r="F32" s="1" t="s">
        <v>190</v>
      </c>
      <c r="G32" s="1">
        <v>23</v>
      </c>
      <c r="H32" s="1">
        <v>3</v>
      </c>
      <c r="J32" s="1">
        <v>465</v>
      </c>
      <c r="K32" s="1">
        <v>468</v>
      </c>
      <c r="L32" s="1">
        <v>3</v>
      </c>
      <c r="M32" s="1">
        <v>9</v>
      </c>
      <c r="N32" s="1" t="s">
        <v>191</v>
      </c>
      <c r="O32" s="2" t="s">
        <v>192</v>
      </c>
      <c r="P32" s="1" t="s">
        <v>26</v>
      </c>
      <c r="Q32" s="1" t="s">
        <v>27</v>
      </c>
      <c r="R32" s="1" t="s">
        <v>193</v>
      </c>
      <c r="S32" s="1" t="s">
        <v>28</v>
      </c>
      <c r="T32" s="1" t="s">
        <v>194</v>
      </c>
    </row>
    <row r="33" spans="1:22" ht="13.8" x14ac:dyDescent="0.3">
      <c r="A33" s="1" t="s">
        <v>435</v>
      </c>
      <c r="B33" s="1" t="s">
        <v>436</v>
      </c>
      <c r="C33" s="1" t="s">
        <v>437</v>
      </c>
      <c r="D33" s="1" t="s">
        <v>438</v>
      </c>
      <c r="E33" s="11">
        <v>2020</v>
      </c>
      <c r="F33" s="1" t="s">
        <v>34</v>
      </c>
      <c r="G33" s="1">
        <v>31</v>
      </c>
      <c r="H33" s="1">
        <v>2</v>
      </c>
      <c r="J33" s="1">
        <v>86</v>
      </c>
      <c r="K33" s="1">
        <v>89</v>
      </c>
      <c r="L33" s="1">
        <v>3</v>
      </c>
      <c r="M33" s="1">
        <v>6</v>
      </c>
      <c r="N33" s="1" t="s">
        <v>439</v>
      </c>
      <c r="O33" s="2" t="s">
        <v>440</v>
      </c>
      <c r="P33" s="1" t="s">
        <v>26</v>
      </c>
      <c r="Q33" s="1" t="s">
        <v>27</v>
      </c>
      <c r="R33" s="1" t="s">
        <v>137</v>
      </c>
      <c r="S33" s="1" t="s">
        <v>28</v>
      </c>
      <c r="T33" s="1" t="s">
        <v>441</v>
      </c>
    </row>
    <row r="34" spans="1:22" ht="13.8" x14ac:dyDescent="0.3">
      <c r="A34" s="1" t="s">
        <v>93</v>
      </c>
      <c r="B34" s="1" t="s">
        <v>94</v>
      </c>
      <c r="C34" s="1" t="s">
        <v>95</v>
      </c>
      <c r="D34" s="1" t="s">
        <v>96</v>
      </c>
      <c r="E34" s="11">
        <v>2021</v>
      </c>
      <c r="F34" s="1" t="s">
        <v>34</v>
      </c>
      <c r="G34" s="1">
        <v>32</v>
      </c>
      <c r="H34" s="1">
        <v>6</v>
      </c>
      <c r="J34" s="1">
        <v>654</v>
      </c>
      <c r="K34" s="1">
        <v>663</v>
      </c>
      <c r="L34" s="1">
        <v>9</v>
      </c>
      <c r="M34" s="1">
        <v>11</v>
      </c>
      <c r="N34" s="1" t="s">
        <v>97</v>
      </c>
      <c r="O34" s="2" t="s">
        <v>98</v>
      </c>
      <c r="P34" s="1" t="s">
        <v>26</v>
      </c>
      <c r="Q34" s="1" t="s">
        <v>27</v>
      </c>
      <c r="R34" s="1" t="s">
        <v>75</v>
      </c>
      <c r="S34" s="1" t="s">
        <v>28</v>
      </c>
      <c r="T34" s="1" t="s">
        <v>99</v>
      </c>
    </row>
    <row r="35" spans="1:22" ht="13.8" x14ac:dyDescent="0.3">
      <c r="A35" s="1" t="s">
        <v>122</v>
      </c>
      <c r="B35" s="1" t="s">
        <v>123</v>
      </c>
      <c r="C35" s="1" t="s">
        <v>124</v>
      </c>
      <c r="D35" s="1" t="s">
        <v>125</v>
      </c>
      <c r="E35" s="14">
        <v>2021</v>
      </c>
      <c r="F35" s="1" t="s">
        <v>126</v>
      </c>
      <c r="G35" s="1">
        <v>11</v>
      </c>
      <c r="H35" s="1">
        <v>6</v>
      </c>
      <c r="I35" s="1">
        <v>1603</v>
      </c>
      <c r="M35" s="1">
        <v>25</v>
      </c>
      <c r="N35" s="1" t="s">
        <v>127</v>
      </c>
      <c r="O35" s="2" t="s">
        <v>128</v>
      </c>
      <c r="P35" s="1" t="s">
        <v>26</v>
      </c>
      <c r="Q35" s="1" t="s">
        <v>27</v>
      </c>
      <c r="R35" s="1" t="s">
        <v>46</v>
      </c>
      <c r="S35" s="1" t="s">
        <v>28</v>
      </c>
      <c r="T35" s="1" t="s">
        <v>129</v>
      </c>
    </row>
    <row r="36" spans="1:22" ht="13.8" x14ac:dyDescent="0.3">
      <c r="A36" s="1" t="s">
        <v>215</v>
      </c>
      <c r="B36" s="1" t="s">
        <v>216</v>
      </c>
      <c r="C36" s="1" t="s">
        <v>217</v>
      </c>
      <c r="D36" s="1" t="s">
        <v>218</v>
      </c>
      <c r="E36" s="14">
        <v>2021</v>
      </c>
      <c r="F36" s="1" t="s">
        <v>34</v>
      </c>
      <c r="G36" s="1">
        <v>32</v>
      </c>
      <c r="H36" s="1">
        <v>5</v>
      </c>
      <c r="J36" s="1">
        <v>462</v>
      </c>
      <c r="K36" s="1" t="s">
        <v>219</v>
      </c>
      <c r="L36" s="1">
        <v>-336</v>
      </c>
      <c r="M36" s="1">
        <v>9</v>
      </c>
      <c r="N36" s="1" t="s">
        <v>220</v>
      </c>
      <c r="O36" s="2" t="s">
        <v>221</v>
      </c>
      <c r="P36" s="1" t="s">
        <v>26</v>
      </c>
      <c r="Q36" s="1" t="s">
        <v>27</v>
      </c>
      <c r="S36" s="1" t="s">
        <v>28</v>
      </c>
      <c r="T36" s="1" t="s">
        <v>222</v>
      </c>
    </row>
    <row r="37" spans="1:22" ht="13.8" x14ac:dyDescent="0.3">
      <c r="A37" s="1" t="s">
        <v>231</v>
      </c>
      <c r="B37" s="1" t="s">
        <v>232</v>
      </c>
      <c r="C37" s="1" t="s">
        <v>233</v>
      </c>
      <c r="D37" s="1" t="s">
        <v>234</v>
      </c>
      <c r="E37" s="1">
        <v>2021</v>
      </c>
      <c r="F37" s="1" t="s">
        <v>235</v>
      </c>
      <c r="G37" s="1">
        <v>8</v>
      </c>
      <c r="H37" s="1">
        <v>5</v>
      </c>
      <c r="I37" s="1">
        <v>85</v>
      </c>
      <c r="M37" s="1">
        <v>6</v>
      </c>
      <c r="N37" s="1" t="s">
        <v>236</v>
      </c>
      <c r="O37" s="2" t="s">
        <v>237</v>
      </c>
      <c r="P37" s="1" t="s">
        <v>26</v>
      </c>
      <c r="Q37" s="1" t="s">
        <v>27</v>
      </c>
      <c r="R37" s="1" t="s">
        <v>46</v>
      </c>
      <c r="S37" s="1" t="s">
        <v>28</v>
      </c>
      <c r="T37" s="1" t="s">
        <v>238</v>
      </c>
    </row>
    <row r="38" spans="1:22" ht="13.8" x14ac:dyDescent="0.3">
      <c r="A38" s="1" t="s">
        <v>271</v>
      </c>
      <c r="B38" s="1" t="s">
        <v>272</v>
      </c>
      <c r="C38" s="1" t="s">
        <v>273</v>
      </c>
      <c r="D38" s="1" t="s">
        <v>274</v>
      </c>
      <c r="E38" s="4">
        <v>2021</v>
      </c>
      <c r="F38" s="1" t="s">
        <v>275</v>
      </c>
      <c r="G38" s="1">
        <v>14</v>
      </c>
      <c r="H38" s="1">
        <v>4</v>
      </c>
      <c r="J38" s="1">
        <v>978</v>
      </c>
      <c r="K38" s="1">
        <v>985</v>
      </c>
      <c r="L38" s="1">
        <v>7</v>
      </c>
      <c r="M38" s="1">
        <v>12</v>
      </c>
      <c r="N38" s="1" t="s">
        <v>276</v>
      </c>
      <c r="O38" s="2" t="s">
        <v>277</v>
      </c>
      <c r="P38" s="1" t="s">
        <v>26</v>
      </c>
      <c r="Q38" s="1" t="s">
        <v>27</v>
      </c>
      <c r="R38" s="1" t="s">
        <v>46</v>
      </c>
      <c r="S38" s="1" t="s">
        <v>28</v>
      </c>
      <c r="T38" s="1" t="s">
        <v>278</v>
      </c>
    </row>
    <row r="39" spans="1:22" ht="13.8" x14ac:dyDescent="0.3">
      <c r="A39" s="1" t="s">
        <v>336</v>
      </c>
      <c r="B39" s="1" t="s">
        <v>337</v>
      </c>
      <c r="C39" s="1" t="s">
        <v>338</v>
      </c>
      <c r="D39" s="1" t="s">
        <v>339</v>
      </c>
      <c r="E39" s="1">
        <v>2021</v>
      </c>
      <c r="F39" s="1" t="s">
        <v>43</v>
      </c>
      <c r="G39" s="1">
        <v>10</v>
      </c>
      <c r="H39" s="1">
        <v>7</v>
      </c>
      <c r="I39" s="1">
        <v>846</v>
      </c>
      <c r="M39" s="1">
        <v>19</v>
      </c>
      <c r="N39" s="1" t="s">
        <v>340</v>
      </c>
      <c r="O39" s="2" t="s">
        <v>341</v>
      </c>
      <c r="P39" s="1" t="s">
        <v>26</v>
      </c>
      <c r="Q39" s="1" t="s">
        <v>27</v>
      </c>
      <c r="R39" s="1" t="s">
        <v>46</v>
      </c>
      <c r="S39" s="1" t="s">
        <v>28</v>
      </c>
      <c r="T39" s="1" t="s">
        <v>342</v>
      </c>
    </row>
    <row r="40" spans="1:22" ht="13.8" x14ac:dyDescent="0.3">
      <c r="A40" s="1" t="s">
        <v>374</v>
      </c>
      <c r="B40" s="1" t="s">
        <v>375</v>
      </c>
      <c r="C40" s="1" t="s">
        <v>376</v>
      </c>
      <c r="D40" s="1" t="s">
        <v>377</v>
      </c>
      <c r="E40" s="1">
        <v>2021</v>
      </c>
      <c r="F40" s="1" t="s">
        <v>43</v>
      </c>
      <c r="G40" s="1">
        <v>10</v>
      </c>
      <c r="H40" s="1">
        <v>5</v>
      </c>
      <c r="I40" s="1">
        <v>518</v>
      </c>
      <c r="M40" s="1">
        <v>9</v>
      </c>
      <c r="N40" s="1" t="s">
        <v>378</v>
      </c>
      <c r="O40" s="2" t="s">
        <v>379</v>
      </c>
      <c r="P40" s="1" t="s">
        <v>26</v>
      </c>
      <c r="Q40" s="1" t="s">
        <v>27</v>
      </c>
      <c r="R40" s="1" t="s">
        <v>176</v>
      </c>
      <c r="S40" s="1" t="s">
        <v>28</v>
      </c>
      <c r="T40" s="1" t="s">
        <v>380</v>
      </c>
    </row>
    <row r="41" spans="1:22" ht="13.8" x14ac:dyDescent="0.3">
      <c r="A41" s="1" t="s">
        <v>39</v>
      </c>
      <c r="B41" s="1" t="s">
        <v>40</v>
      </c>
      <c r="C41" s="1" t="s">
        <v>41</v>
      </c>
      <c r="D41" s="1" t="s">
        <v>42</v>
      </c>
      <c r="E41" s="14">
        <v>2022</v>
      </c>
      <c r="F41" s="1" t="s">
        <v>43</v>
      </c>
      <c r="G41" s="1">
        <v>11</v>
      </c>
      <c r="H41" s="1">
        <v>5</v>
      </c>
      <c r="I41" s="1">
        <v>609</v>
      </c>
      <c r="M41" s="1">
        <v>7</v>
      </c>
      <c r="N41" s="1" t="s">
        <v>44</v>
      </c>
      <c r="O41" s="2" t="s">
        <v>45</v>
      </c>
      <c r="P41" s="1" t="s">
        <v>26</v>
      </c>
      <c r="Q41" s="1" t="s">
        <v>27</v>
      </c>
      <c r="R41" s="1" t="s">
        <v>46</v>
      </c>
      <c r="S41" s="1" t="s">
        <v>28</v>
      </c>
      <c r="T41" s="1" t="s">
        <v>47</v>
      </c>
    </row>
    <row r="42" spans="1:22" ht="13.8" x14ac:dyDescent="0.3">
      <c r="A42" s="1" t="s">
        <v>59</v>
      </c>
      <c r="B42" s="1" t="s">
        <v>60</v>
      </c>
      <c r="C42" s="1" t="s">
        <v>61</v>
      </c>
      <c r="D42" s="1" t="s">
        <v>62</v>
      </c>
      <c r="E42" s="14">
        <v>2022</v>
      </c>
      <c r="F42" s="1" t="s">
        <v>63</v>
      </c>
      <c r="G42" s="1">
        <v>50</v>
      </c>
      <c r="I42" s="1">
        <v>100679</v>
      </c>
      <c r="M42" s="1">
        <v>1</v>
      </c>
      <c r="N42" s="1" t="s">
        <v>64</v>
      </c>
      <c r="O42" s="2" t="s">
        <v>65</v>
      </c>
      <c r="P42" s="1" t="s">
        <v>26</v>
      </c>
      <c r="Q42" s="1" t="s">
        <v>27</v>
      </c>
      <c r="S42" s="1" t="s">
        <v>28</v>
      </c>
      <c r="T42" s="1" t="s">
        <v>66</v>
      </c>
    </row>
    <row r="43" spans="1:22" ht="13.8" x14ac:dyDescent="0.3">
      <c r="A43" s="1" t="s">
        <v>168</v>
      </c>
      <c r="B43" s="1" t="s">
        <v>169</v>
      </c>
      <c r="C43" s="1" t="s">
        <v>170</v>
      </c>
      <c r="D43" s="1" t="s">
        <v>171</v>
      </c>
      <c r="E43" s="1">
        <v>2022</v>
      </c>
      <c r="F43" s="1" t="s">
        <v>172</v>
      </c>
      <c r="G43" s="1">
        <v>17</v>
      </c>
      <c r="H43" s="3">
        <v>45449</v>
      </c>
      <c r="I43" s="1" t="s">
        <v>173</v>
      </c>
      <c r="M43" s="1">
        <v>24</v>
      </c>
      <c r="N43" s="1" t="s">
        <v>174</v>
      </c>
      <c r="O43" s="2" t="s">
        <v>175</v>
      </c>
      <c r="P43" s="1" t="s">
        <v>26</v>
      </c>
      <c r="Q43" s="1" t="s">
        <v>27</v>
      </c>
      <c r="R43" s="1" t="s">
        <v>176</v>
      </c>
      <c r="S43" s="1" t="s">
        <v>28</v>
      </c>
      <c r="T43" s="1" t="s">
        <v>177</v>
      </c>
      <c r="V43" s="1" t="s">
        <v>463</v>
      </c>
    </row>
    <row r="44" spans="1:22" ht="13.8" x14ac:dyDescent="0.3">
      <c r="A44" s="1" t="s">
        <v>239</v>
      </c>
      <c r="B44" s="1" t="s">
        <v>240</v>
      </c>
      <c r="C44" s="1" t="s">
        <v>241</v>
      </c>
      <c r="D44" s="1" t="s">
        <v>242</v>
      </c>
      <c r="E44" s="1">
        <v>2022</v>
      </c>
      <c r="F44" s="1" t="s">
        <v>235</v>
      </c>
      <c r="G44" s="1">
        <v>9</v>
      </c>
      <c r="H44" s="1">
        <v>7</v>
      </c>
      <c r="I44" s="1">
        <v>306</v>
      </c>
      <c r="M44" s="1">
        <v>7</v>
      </c>
      <c r="N44" s="1" t="s">
        <v>243</v>
      </c>
      <c r="O44" s="2" t="s">
        <v>244</v>
      </c>
      <c r="P44" s="1" t="s">
        <v>26</v>
      </c>
      <c r="Q44" s="1" t="s">
        <v>27</v>
      </c>
      <c r="R44" s="1" t="s">
        <v>46</v>
      </c>
      <c r="S44" s="1" t="s">
        <v>28</v>
      </c>
      <c r="T44" s="1" t="s">
        <v>245</v>
      </c>
    </row>
    <row r="45" spans="1:22" ht="13.8" x14ac:dyDescent="0.3">
      <c r="A45" s="1" t="s">
        <v>288</v>
      </c>
      <c r="B45" s="1" t="s">
        <v>289</v>
      </c>
      <c r="C45" s="1" t="s">
        <v>290</v>
      </c>
      <c r="D45" s="1" t="s">
        <v>291</v>
      </c>
      <c r="E45" s="11">
        <v>2022</v>
      </c>
      <c r="F45" s="1" t="s">
        <v>292</v>
      </c>
      <c r="G45" s="1">
        <v>93</v>
      </c>
      <c r="H45" s="1">
        <v>1</v>
      </c>
      <c r="M45" s="1">
        <v>4</v>
      </c>
      <c r="N45" s="1" t="s">
        <v>293</v>
      </c>
      <c r="O45" s="2" t="s">
        <v>294</v>
      </c>
      <c r="P45" s="1" t="s">
        <v>26</v>
      </c>
      <c r="Q45" s="1" t="s">
        <v>27</v>
      </c>
      <c r="S45" s="1" t="s">
        <v>28</v>
      </c>
      <c r="T45" s="1" t="s">
        <v>295</v>
      </c>
    </row>
    <row r="46" spans="1:22" ht="13.8" x14ac:dyDescent="0.3">
      <c r="A46" s="1" t="s">
        <v>343</v>
      </c>
      <c r="B46" s="1" t="s">
        <v>344</v>
      </c>
      <c r="C46" s="1" t="s">
        <v>345</v>
      </c>
      <c r="D46" s="1" t="s">
        <v>346</v>
      </c>
      <c r="E46" s="11">
        <v>2022</v>
      </c>
      <c r="F46" s="1" t="s">
        <v>34</v>
      </c>
      <c r="G46" s="1">
        <v>33</v>
      </c>
      <c r="H46" s="1">
        <v>5</v>
      </c>
      <c r="J46" s="1">
        <v>384</v>
      </c>
      <c r="K46" s="1">
        <v>391</v>
      </c>
      <c r="L46" s="1">
        <v>7</v>
      </c>
      <c r="M46" s="1">
        <v>2</v>
      </c>
      <c r="N46" s="1" t="s">
        <v>347</v>
      </c>
      <c r="O46" s="2" t="s">
        <v>348</v>
      </c>
      <c r="P46" s="1" t="s">
        <v>26</v>
      </c>
      <c r="Q46" s="1" t="s">
        <v>27</v>
      </c>
      <c r="S46" s="1" t="s">
        <v>28</v>
      </c>
      <c r="T46" s="1" t="s">
        <v>349</v>
      </c>
    </row>
    <row r="47" spans="1:22" ht="13.8" x14ac:dyDescent="0.3">
      <c r="A47" s="1" t="s">
        <v>350</v>
      </c>
      <c r="B47" s="1" t="s">
        <v>351</v>
      </c>
      <c r="C47" s="1" t="s">
        <v>352</v>
      </c>
      <c r="D47" s="1" t="s">
        <v>353</v>
      </c>
      <c r="E47" s="14">
        <v>2022</v>
      </c>
      <c r="F47" s="1" t="s">
        <v>34</v>
      </c>
      <c r="G47" s="1">
        <v>33</v>
      </c>
      <c r="H47" s="1">
        <v>1</v>
      </c>
      <c r="J47" s="1">
        <v>29</v>
      </c>
      <c r="K47" s="1" t="s">
        <v>354</v>
      </c>
      <c r="L47" s="1">
        <v>-19</v>
      </c>
      <c r="M47" s="1">
        <v>7</v>
      </c>
      <c r="N47" s="1" t="s">
        <v>355</v>
      </c>
      <c r="O47" s="2" t="s">
        <v>356</v>
      </c>
      <c r="P47" s="1" t="s">
        <v>26</v>
      </c>
      <c r="Q47" s="1" t="s">
        <v>27</v>
      </c>
      <c r="S47" s="1" t="s">
        <v>28</v>
      </c>
      <c r="T47" s="1" t="s">
        <v>357</v>
      </c>
    </row>
    <row r="48" spans="1:22" ht="13.8" x14ac:dyDescent="0.3">
      <c r="A48" s="1" t="s">
        <v>161</v>
      </c>
      <c r="B48" s="1" t="s">
        <v>162</v>
      </c>
      <c r="C48" s="1" t="s">
        <v>163</v>
      </c>
      <c r="D48" s="1" t="s">
        <v>164</v>
      </c>
      <c r="E48" s="11">
        <v>2023</v>
      </c>
      <c r="F48" s="1" t="s">
        <v>43</v>
      </c>
      <c r="G48" s="1">
        <v>12</v>
      </c>
      <c r="H48" s="1">
        <v>10</v>
      </c>
      <c r="I48" s="1">
        <v>1548</v>
      </c>
      <c r="M48" s="1">
        <v>0</v>
      </c>
      <c r="N48" s="1" t="s">
        <v>165</v>
      </c>
      <c r="O48" s="2" t="s">
        <v>166</v>
      </c>
      <c r="P48" s="1" t="s">
        <v>26</v>
      </c>
      <c r="Q48" s="1" t="s">
        <v>27</v>
      </c>
      <c r="R48" s="1" t="s">
        <v>46</v>
      </c>
      <c r="S48" s="1" t="s">
        <v>28</v>
      </c>
      <c r="T48" s="1" t="s">
        <v>167</v>
      </c>
    </row>
    <row r="49" spans="1:20" ht="13.8" x14ac:dyDescent="0.3">
      <c r="A49" s="1" t="s">
        <v>195</v>
      </c>
      <c r="B49" s="1" t="s">
        <v>196</v>
      </c>
      <c r="C49" s="1" t="s">
        <v>197</v>
      </c>
      <c r="D49" s="1" t="s">
        <v>198</v>
      </c>
      <c r="E49" s="14">
        <v>2023</v>
      </c>
      <c r="F49" s="1" t="s">
        <v>34</v>
      </c>
      <c r="G49" s="1">
        <v>34</v>
      </c>
      <c r="H49" s="1">
        <v>1</v>
      </c>
      <c r="J49" s="1">
        <v>14</v>
      </c>
      <c r="K49" s="1">
        <v>21</v>
      </c>
      <c r="L49" s="1">
        <v>7</v>
      </c>
      <c r="M49" s="1">
        <v>4</v>
      </c>
      <c r="N49" s="1" t="s">
        <v>199</v>
      </c>
      <c r="O49" s="2" t="s">
        <v>200</v>
      </c>
      <c r="P49" s="1" t="s">
        <v>26</v>
      </c>
      <c r="Q49" s="1" t="s">
        <v>27</v>
      </c>
      <c r="S49" s="1" t="s">
        <v>28</v>
      </c>
      <c r="T49" s="1" t="s">
        <v>201</v>
      </c>
    </row>
    <row r="50" spans="1:20" ht="13.8" x14ac:dyDescent="0.3">
      <c r="A50" s="1" t="s">
        <v>223</v>
      </c>
      <c r="B50" s="1" t="s">
        <v>224</v>
      </c>
      <c r="C50" s="1" t="s">
        <v>225</v>
      </c>
      <c r="D50" s="1" t="s">
        <v>226</v>
      </c>
      <c r="E50" s="11">
        <v>2023</v>
      </c>
      <c r="F50" s="1" t="s">
        <v>227</v>
      </c>
      <c r="G50" s="1">
        <v>59</v>
      </c>
      <c r="H50" s="1">
        <v>6</v>
      </c>
      <c r="J50" s="1">
        <v>255</v>
      </c>
      <c r="K50" s="1">
        <v>284</v>
      </c>
      <c r="L50" s="1">
        <v>29</v>
      </c>
      <c r="M50" s="1">
        <v>3</v>
      </c>
      <c r="N50" s="1" t="s">
        <v>228</v>
      </c>
      <c r="O50" s="2" t="s">
        <v>229</v>
      </c>
      <c r="P50" s="1" t="s">
        <v>26</v>
      </c>
      <c r="Q50" s="1" t="s">
        <v>27</v>
      </c>
      <c r="S50" s="1" t="s">
        <v>28</v>
      </c>
      <c r="T50" s="1" t="s">
        <v>230</v>
      </c>
    </row>
    <row r="51" spans="1:20" ht="13.8" x14ac:dyDescent="0.3">
      <c r="A51" s="1" t="s">
        <v>263</v>
      </c>
      <c r="B51" s="1" t="s">
        <v>264</v>
      </c>
      <c r="C51" s="1" t="s">
        <v>265</v>
      </c>
      <c r="D51" s="1" t="s">
        <v>266</v>
      </c>
      <c r="E51" s="11">
        <v>2023</v>
      </c>
      <c r="F51" s="1" t="s">
        <v>267</v>
      </c>
      <c r="G51" s="1">
        <v>51</v>
      </c>
      <c r="H51" s="1">
        <v>5</v>
      </c>
      <c r="J51" s="1">
        <v>361</v>
      </c>
      <c r="K51" s="1">
        <v>367</v>
      </c>
      <c r="L51" s="1">
        <v>6</v>
      </c>
      <c r="M51" s="1">
        <v>0</v>
      </c>
      <c r="N51" s="1" t="s">
        <v>268</v>
      </c>
      <c r="O51" s="2" t="s">
        <v>269</v>
      </c>
      <c r="P51" s="1" t="s">
        <v>26</v>
      </c>
      <c r="Q51" s="1" t="s">
        <v>27</v>
      </c>
      <c r="S51" s="1" t="s">
        <v>28</v>
      </c>
      <c r="T51" s="1" t="s">
        <v>270</v>
      </c>
    </row>
    <row r="52" spans="1:20" ht="13.8" x14ac:dyDescent="0.3">
      <c r="A52" s="1" t="s">
        <v>313</v>
      </c>
      <c r="B52" s="1" t="s">
        <v>314</v>
      </c>
      <c r="C52" s="1" t="s">
        <v>315</v>
      </c>
      <c r="D52" s="1" t="s">
        <v>316</v>
      </c>
      <c r="E52" s="4">
        <v>2023</v>
      </c>
      <c r="F52" s="1" t="s">
        <v>317</v>
      </c>
      <c r="G52" s="1">
        <v>47</v>
      </c>
      <c r="H52" s="1">
        <v>2</v>
      </c>
      <c r="J52" s="1">
        <v>713</v>
      </c>
      <c r="K52" s="1">
        <v>721</v>
      </c>
      <c r="L52" s="1">
        <v>8</v>
      </c>
      <c r="M52" s="1">
        <v>4</v>
      </c>
      <c r="N52" s="1" t="s">
        <v>318</v>
      </c>
      <c r="O52" s="2" t="s">
        <v>319</v>
      </c>
      <c r="P52" s="1" t="s">
        <v>26</v>
      </c>
      <c r="Q52" s="1" t="s">
        <v>27</v>
      </c>
      <c r="S52" s="1" t="s">
        <v>28</v>
      </c>
      <c r="T52" s="1" t="s">
        <v>320</v>
      </c>
    </row>
    <row r="53" spans="1:20" ht="13.8" x14ac:dyDescent="0.3">
      <c r="A53" s="1" t="s">
        <v>321</v>
      </c>
      <c r="B53" s="1" t="s">
        <v>322</v>
      </c>
      <c r="C53" s="1" t="s">
        <v>323</v>
      </c>
      <c r="D53" s="1" t="s">
        <v>324</v>
      </c>
      <c r="E53" s="14">
        <v>2023</v>
      </c>
      <c r="F53" s="1" t="s">
        <v>325</v>
      </c>
      <c r="G53" s="1">
        <v>11</v>
      </c>
      <c r="H53" s="1">
        <v>2</v>
      </c>
      <c r="M53" s="1">
        <v>5</v>
      </c>
      <c r="N53" s="1" t="s">
        <v>326</v>
      </c>
      <c r="O53" s="2" t="s">
        <v>327</v>
      </c>
      <c r="P53" s="1" t="s">
        <v>26</v>
      </c>
      <c r="Q53" s="1" t="s">
        <v>27</v>
      </c>
      <c r="R53" s="1" t="s">
        <v>176</v>
      </c>
      <c r="S53" s="1" t="s">
        <v>28</v>
      </c>
      <c r="T53" s="1" t="s">
        <v>328</v>
      </c>
    </row>
    <row r="54" spans="1:20" ht="13.8" x14ac:dyDescent="0.3">
      <c r="A54" s="1" t="s">
        <v>381</v>
      </c>
      <c r="B54" s="1" t="s">
        <v>382</v>
      </c>
      <c r="C54" s="1" t="s">
        <v>383</v>
      </c>
      <c r="D54" s="1" t="s">
        <v>384</v>
      </c>
      <c r="E54" s="11">
        <v>2023</v>
      </c>
      <c r="F54" s="1" t="s">
        <v>34</v>
      </c>
      <c r="G54" s="1">
        <v>34</v>
      </c>
      <c r="H54" s="1">
        <v>4</v>
      </c>
      <c r="J54" s="1">
        <v>298</v>
      </c>
      <c r="K54" s="1">
        <v>309</v>
      </c>
      <c r="L54" s="1">
        <v>11</v>
      </c>
      <c r="M54" s="1">
        <v>5</v>
      </c>
      <c r="N54" s="1" t="s">
        <v>385</v>
      </c>
      <c r="O54" s="2" t="s">
        <v>386</v>
      </c>
      <c r="P54" s="1" t="s">
        <v>26</v>
      </c>
      <c r="Q54" s="1" t="s">
        <v>27</v>
      </c>
      <c r="S54" s="1" t="s">
        <v>28</v>
      </c>
      <c r="T54" s="1" t="s">
        <v>387</v>
      </c>
    </row>
    <row r="55" spans="1:20" ht="13.8" x14ac:dyDescent="0.3">
      <c r="A55" s="1" t="s">
        <v>411</v>
      </c>
      <c r="B55" s="1" t="s">
        <v>412</v>
      </c>
      <c r="C55" s="1" t="s">
        <v>413</v>
      </c>
      <c r="D55" s="1" t="s">
        <v>414</v>
      </c>
      <c r="E55" s="1">
        <v>2023</v>
      </c>
      <c r="F55" s="1" t="s">
        <v>275</v>
      </c>
      <c r="G55" s="1">
        <v>16</v>
      </c>
      <c r="H55" s="1">
        <v>11</v>
      </c>
      <c r="J55" s="1">
        <v>2340</v>
      </c>
      <c r="K55" s="1">
        <v>2348</v>
      </c>
      <c r="L55" s="1">
        <v>8</v>
      </c>
      <c r="M55" s="1">
        <v>2</v>
      </c>
      <c r="N55" s="1" t="s">
        <v>415</v>
      </c>
      <c r="O55" s="2" t="s">
        <v>416</v>
      </c>
      <c r="P55" s="1" t="s">
        <v>26</v>
      </c>
      <c r="Q55" s="1" t="s">
        <v>27</v>
      </c>
      <c r="R55" s="1" t="s">
        <v>46</v>
      </c>
      <c r="S55" s="1" t="s">
        <v>28</v>
      </c>
      <c r="T55" s="1" t="s">
        <v>417</v>
      </c>
    </row>
    <row r="56" spans="1:20" ht="13.8" x14ac:dyDescent="0.3">
      <c r="A56" s="1" t="s">
        <v>418</v>
      </c>
      <c r="B56" s="1" t="s">
        <v>419</v>
      </c>
      <c r="C56" s="1" t="s">
        <v>420</v>
      </c>
      <c r="D56" s="1" t="s">
        <v>421</v>
      </c>
      <c r="E56" s="11">
        <v>2023</v>
      </c>
      <c r="F56" s="1" t="s">
        <v>422</v>
      </c>
      <c r="G56" s="1">
        <v>24</v>
      </c>
      <c r="H56" s="1">
        <v>6</v>
      </c>
      <c r="I56" s="1" t="s">
        <v>423</v>
      </c>
      <c r="M56" s="1">
        <v>0</v>
      </c>
      <c r="N56" s="1" t="s">
        <v>424</v>
      </c>
      <c r="O56" s="2" t="s">
        <v>425</v>
      </c>
      <c r="P56" s="1" t="s">
        <v>26</v>
      </c>
      <c r="Q56" s="1" t="s">
        <v>27</v>
      </c>
      <c r="R56" s="1" t="s">
        <v>46</v>
      </c>
      <c r="S56" s="1" t="s">
        <v>28</v>
      </c>
      <c r="T56" s="1" t="s">
        <v>426</v>
      </c>
    </row>
  </sheetData>
  <sortState xmlns:xlrd2="http://schemas.microsoft.com/office/spreadsheetml/2017/richdata2" ref="A2:T56">
    <sortCondition ref="E2:E56"/>
  </sortState>
  <hyperlinks>
    <hyperlink ref="O26" r:id="rId1" xr:uid="{00000000-0004-0000-0000-000000000000}"/>
    <hyperlink ref="O2" r:id="rId2" xr:uid="{00000000-0004-0000-0000-000001000000}"/>
    <hyperlink ref="O41" r:id="rId3" xr:uid="{00000000-0004-0000-0000-000002000000}"/>
    <hyperlink ref="O3" r:id="rId4" xr:uid="{00000000-0004-0000-0000-000003000000}"/>
    <hyperlink ref="O42" r:id="rId5" xr:uid="{00000000-0004-0000-0000-000004000000}"/>
    <hyperlink ref="O19" r:id="rId6" xr:uid="{00000000-0004-0000-0000-000005000000}"/>
    <hyperlink ref="O20" r:id="rId7" xr:uid="{00000000-0004-0000-0000-000006000000}"/>
    <hyperlink ref="O27" r:id="rId8" xr:uid="{00000000-0004-0000-0000-000007000000}"/>
    <hyperlink ref="O34" r:id="rId9" xr:uid="{00000000-0004-0000-0000-000008000000}"/>
    <hyperlink ref="O8" r:id="rId10" xr:uid="{00000000-0004-0000-0000-000009000000}"/>
    <hyperlink ref="O9" r:id="rId11" xr:uid="{00000000-0004-0000-0000-00000A000000}"/>
    <hyperlink ref="O17" r:id="rId12" xr:uid="{00000000-0004-0000-0000-00000B000000}"/>
    <hyperlink ref="O35" r:id="rId13" xr:uid="{00000000-0004-0000-0000-00000C000000}"/>
    <hyperlink ref="O29" r:id="rId14" xr:uid="{00000000-0004-0000-0000-00000D000000}"/>
    <hyperlink ref="O10" r:id="rId15" xr:uid="{00000000-0004-0000-0000-00000E000000}"/>
    <hyperlink ref="O30" r:id="rId16" xr:uid="{00000000-0004-0000-0000-00000F000000}"/>
    <hyperlink ref="O12" r:id="rId17" xr:uid="{00000000-0004-0000-0000-000010000000}"/>
    <hyperlink ref="O48" r:id="rId18" xr:uid="{00000000-0004-0000-0000-000011000000}"/>
    <hyperlink ref="O43" r:id="rId19" xr:uid="{00000000-0004-0000-0000-000012000000}"/>
    <hyperlink ref="O31" r:id="rId20" xr:uid="{00000000-0004-0000-0000-000013000000}"/>
    <hyperlink ref="O32" r:id="rId21" xr:uid="{00000000-0004-0000-0000-000014000000}"/>
    <hyperlink ref="O49" r:id="rId22" xr:uid="{00000000-0004-0000-0000-000015000000}"/>
    <hyperlink ref="O11" r:id="rId23" xr:uid="{00000000-0004-0000-0000-000016000000}"/>
    <hyperlink ref="O4" r:id="rId24" xr:uid="{00000000-0004-0000-0000-000017000000}"/>
    <hyperlink ref="O36" r:id="rId25" xr:uid="{00000000-0004-0000-0000-000018000000}"/>
    <hyperlink ref="O50" r:id="rId26" xr:uid="{00000000-0004-0000-0000-000019000000}"/>
    <hyperlink ref="O37" r:id="rId27" xr:uid="{00000000-0004-0000-0000-00001A000000}"/>
    <hyperlink ref="O44" r:id="rId28" xr:uid="{00000000-0004-0000-0000-00001B000000}"/>
    <hyperlink ref="O5" r:id="rId29" xr:uid="{00000000-0004-0000-0000-00001C000000}"/>
    <hyperlink ref="O6" r:id="rId30" xr:uid="{00000000-0004-0000-0000-00001D000000}"/>
    <hyperlink ref="O13" r:id="rId31" xr:uid="{00000000-0004-0000-0000-00001E000000}"/>
    <hyperlink ref="O51" r:id="rId32" xr:uid="{00000000-0004-0000-0000-00001F000000}"/>
    <hyperlink ref="O38" r:id="rId33" xr:uid="{00000000-0004-0000-0000-000020000000}"/>
    <hyperlink ref="O21" r:id="rId34" xr:uid="{00000000-0004-0000-0000-000021000000}"/>
    <hyperlink ref="O45" r:id="rId35" xr:uid="{00000000-0004-0000-0000-000022000000}"/>
    <hyperlink ref="O15" r:id="rId36" xr:uid="{00000000-0004-0000-0000-000023000000}"/>
    <hyperlink ref="O14" r:id="rId37" xr:uid="{00000000-0004-0000-0000-000024000000}"/>
    <hyperlink ref="O52" r:id="rId38" xr:uid="{00000000-0004-0000-0000-000025000000}"/>
    <hyperlink ref="O53" r:id="rId39" xr:uid="{00000000-0004-0000-0000-000026000000}"/>
    <hyperlink ref="O28" r:id="rId40" xr:uid="{00000000-0004-0000-0000-000027000000}"/>
    <hyperlink ref="O39" r:id="rId41" xr:uid="{00000000-0004-0000-0000-000028000000}"/>
    <hyperlink ref="O46" r:id="rId42" xr:uid="{00000000-0004-0000-0000-000029000000}"/>
    <hyperlink ref="O47" r:id="rId43" xr:uid="{00000000-0004-0000-0000-00002A000000}"/>
    <hyperlink ref="O22" r:id="rId44" xr:uid="{00000000-0004-0000-0000-00002B000000}"/>
    <hyperlink ref="O18" r:id="rId45" xr:uid="{00000000-0004-0000-0000-00002C000000}"/>
    <hyperlink ref="O40" r:id="rId46" xr:uid="{00000000-0004-0000-0000-00002D000000}"/>
    <hyperlink ref="O54" r:id="rId47" xr:uid="{00000000-0004-0000-0000-00002E000000}"/>
    <hyperlink ref="O7" r:id="rId48" xr:uid="{00000000-0004-0000-0000-00002F000000}"/>
    <hyperlink ref="O16" r:id="rId49" xr:uid="{00000000-0004-0000-0000-000030000000}"/>
    <hyperlink ref="O23" r:id="rId50" xr:uid="{00000000-0004-0000-0000-000031000000}"/>
    <hyperlink ref="O55" r:id="rId51" xr:uid="{00000000-0004-0000-0000-000032000000}"/>
    <hyperlink ref="O56" r:id="rId52" xr:uid="{00000000-0004-0000-0000-000033000000}"/>
    <hyperlink ref="O24" r:id="rId53" xr:uid="{00000000-0004-0000-0000-000034000000}"/>
    <hyperlink ref="O33" r:id="rId54" xr:uid="{00000000-0004-0000-0000-000035000000}"/>
    <hyperlink ref="O25" r:id="rId55" xr:uid="{00000000-0004-0000-0000-000036000000}"/>
  </hyperlinks>
  <pageMargins left="0.7" right="0.7" top="0.75" bottom="0.75" header="0.3" footer="0.3"/>
  <pageSetup orientation="portrait" r:id="rId5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16571-6768-4468-9701-E776D3A3246E}">
  <dimension ref="A1:G6"/>
  <sheetViews>
    <sheetView workbookViewId="0">
      <selection activeCell="C5" sqref="C5"/>
    </sheetView>
  </sheetViews>
  <sheetFormatPr baseColWidth="10" defaultRowHeight="13.8" x14ac:dyDescent="0.3"/>
  <cols>
    <col min="1" max="1" width="4.88671875" bestFit="1" customWidth="1"/>
    <col min="2" max="2" width="7.88671875" bestFit="1" customWidth="1"/>
    <col min="3" max="3" width="51.6640625" bestFit="1" customWidth="1"/>
    <col min="4" max="4" width="8.109375" bestFit="1" customWidth="1"/>
  </cols>
  <sheetData>
    <row r="1" spans="1:7" x14ac:dyDescent="0.3">
      <c r="A1" t="s">
        <v>460</v>
      </c>
      <c r="B1" t="s">
        <v>451</v>
      </c>
      <c r="C1" t="s">
        <v>452</v>
      </c>
      <c r="D1" t="s">
        <v>456</v>
      </c>
      <c r="F1" t="s">
        <v>464</v>
      </c>
      <c r="G1">
        <v>55</v>
      </c>
    </row>
    <row r="2" spans="1:7" x14ac:dyDescent="0.3">
      <c r="A2">
        <v>1</v>
      </c>
      <c r="B2" s="8" t="s">
        <v>453</v>
      </c>
      <c r="C2" t="s">
        <v>454</v>
      </c>
      <c r="D2">
        <v>5</v>
      </c>
      <c r="F2" t="s">
        <v>465</v>
      </c>
      <c r="G2">
        <f>G1-D6</f>
        <v>15</v>
      </c>
    </row>
    <row r="3" spans="1:7" x14ac:dyDescent="0.3">
      <c r="A3">
        <v>2</v>
      </c>
      <c r="B3" s="9" t="s">
        <v>457</v>
      </c>
      <c r="C3" t="s">
        <v>455</v>
      </c>
      <c r="D3">
        <v>4</v>
      </c>
    </row>
    <row r="4" spans="1:7" x14ac:dyDescent="0.3">
      <c r="A4">
        <v>3</v>
      </c>
      <c r="B4" s="10" t="s">
        <v>458</v>
      </c>
      <c r="C4" t="s">
        <v>459</v>
      </c>
      <c r="D4">
        <v>17</v>
      </c>
    </row>
    <row r="5" spans="1:7" x14ac:dyDescent="0.3">
      <c r="A5">
        <v>4</v>
      </c>
      <c r="B5" s="12" t="s">
        <v>461</v>
      </c>
      <c r="C5" t="s">
        <v>462</v>
      </c>
      <c r="D5">
        <v>14</v>
      </c>
    </row>
    <row r="6" spans="1:7" x14ac:dyDescent="0.3">
      <c r="D6">
        <f>SUM(D2:D5)</f>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E1E24-3CB5-43D4-B51F-B6A0C1F8550A}">
  <dimension ref="A1:O25"/>
  <sheetViews>
    <sheetView workbookViewId="0">
      <selection activeCell="A24" sqref="A24"/>
    </sheetView>
  </sheetViews>
  <sheetFormatPr baseColWidth="10" defaultRowHeight="13.8" x14ac:dyDescent="0.3"/>
  <cols>
    <col min="1" max="1" width="12.6640625" bestFit="1" customWidth="1"/>
    <col min="2" max="2" width="5" bestFit="1" customWidth="1"/>
    <col min="3" max="3" width="6.33203125" bestFit="1" customWidth="1"/>
    <col min="4" max="4" width="8.5546875" bestFit="1" customWidth="1"/>
    <col min="5" max="5" width="12.109375" bestFit="1" customWidth="1"/>
    <col min="6" max="6" width="7.88671875" bestFit="1" customWidth="1"/>
    <col min="7" max="7" width="23" bestFit="1" customWidth="1"/>
    <col min="8" max="8" width="11.6640625" bestFit="1" customWidth="1"/>
    <col min="9" max="9" width="15" bestFit="1" customWidth="1"/>
    <col min="10" max="10" width="20.6640625" bestFit="1" customWidth="1"/>
    <col min="11" max="11" width="22.6640625" bestFit="1" customWidth="1"/>
    <col min="12" max="12" width="34.33203125" bestFit="1" customWidth="1"/>
    <col min="13" max="13" width="16.88671875" bestFit="1" customWidth="1"/>
    <col min="14" max="14" width="9.88671875" bestFit="1" customWidth="1"/>
    <col min="15" max="15" width="25.109375" bestFit="1" customWidth="1"/>
  </cols>
  <sheetData>
    <row r="1" spans="1:15" s="15" customFormat="1" x14ac:dyDescent="0.3">
      <c r="A1" s="15" t="s">
        <v>466</v>
      </c>
      <c r="B1" s="15" t="s">
        <v>467</v>
      </c>
      <c r="C1" s="15" t="s">
        <v>468</v>
      </c>
      <c r="D1" s="15" t="s">
        <v>469</v>
      </c>
      <c r="E1" s="15" t="s">
        <v>470</v>
      </c>
      <c r="F1" s="15" t="s">
        <v>471</v>
      </c>
      <c r="G1" s="15" t="s">
        <v>472</v>
      </c>
      <c r="H1" s="15" t="s">
        <v>473</v>
      </c>
      <c r="I1" s="15" t="s">
        <v>494</v>
      </c>
      <c r="J1" s="15" t="s">
        <v>474</v>
      </c>
      <c r="K1" s="15" t="s">
        <v>475</v>
      </c>
      <c r="L1" s="15" t="s">
        <v>479</v>
      </c>
      <c r="M1" s="15" t="s">
        <v>476</v>
      </c>
      <c r="N1" s="15" t="s">
        <v>477</v>
      </c>
      <c r="O1" s="15" t="s">
        <v>478</v>
      </c>
    </row>
    <row r="2" spans="1:15" x14ac:dyDescent="0.3">
      <c r="A2" s="17" t="s">
        <v>498</v>
      </c>
      <c r="B2">
        <v>2013</v>
      </c>
      <c r="C2" s="16" t="s">
        <v>481</v>
      </c>
      <c r="D2" s="16" t="s">
        <v>493</v>
      </c>
      <c r="E2" s="16" t="s">
        <v>497</v>
      </c>
      <c r="F2">
        <v>28</v>
      </c>
      <c r="G2" s="16" t="s">
        <v>292</v>
      </c>
      <c r="H2" t="s">
        <v>484</v>
      </c>
      <c r="I2">
        <v>319</v>
      </c>
      <c r="J2" s="16" t="s">
        <v>485</v>
      </c>
      <c r="K2" s="16" t="s">
        <v>495</v>
      </c>
      <c r="L2" t="s">
        <v>487</v>
      </c>
      <c r="M2" t="s">
        <v>488</v>
      </c>
      <c r="N2" s="16" t="s">
        <v>496</v>
      </c>
      <c r="O2" s="16" t="s">
        <v>553</v>
      </c>
    </row>
    <row r="3" spans="1:15" x14ac:dyDescent="0.3">
      <c r="A3" s="17" t="s">
        <v>491</v>
      </c>
      <c r="B3">
        <v>2013</v>
      </c>
      <c r="C3" t="s">
        <v>481</v>
      </c>
      <c r="D3" t="s">
        <v>492</v>
      </c>
      <c r="E3" t="s">
        <v>490</v>
      </c>
      <c r="F3">
        <v>61</v>
      </c>
      <c r="G3" t="s">
        <v>34</v>
      </c>
      <c r="H3" t="s">
        <v>484</v>
      </c>
      <c r="I3">
        <v>80</v>
      </c>
      <c r="J3" t="s">
        <v>485</v>
      </c>
      <c r="K3" t="s">
        <v>518</v>
      </c>
      <c r="L3" t="s">
        <v>487</v>
      </c>
      <c r="M3" t="s">
        <v>533</v>
      </c>
      <c r="N3" s="23" t="s">
        <v>630</v>
      </c>
      <c r="O3" t="s">
        <v>534</v>
      </c>
    </row>
    <row r="4" spans="1:15" x14ac:dyDescent="0.3">
      <c r="A4" t="s">
        <v>560</v>
      </c>
      <c r="B4">
        <v>2013</v>
      </c>
      <c r="C4" t="s">
        <v>481</v>
      </c>
      <c r="D4" s="16" t="s">
        <v>583</v>
      </c>
      <c r="E4" t="s">
        <v>497</v>
      </c>
      <c r="F4">
        <v>24</v>
      </c>
      <c r="G4" t="s">
        <v>317</v>
      </c>
      <c r="H4" t="s">
        <v>484</v>
      </c>
      <c r="I4">
        <v>87</v>
      </c>
      <c r="J4" t="s">
        <v>485</v>
      </c>
      <c r="K4" s="16" t="s">
        <v>518</v>
      </c>
      <c r="L4" s="16" t="s">
        <v>582</v>
      </c>
      <c r="M4" s="16" t="s">
        <v>510</v>
      </c>
      <c r="N4" s="22" t="s">
        <v>628</v>
      </c>
      <c r="O4" s="16" t="s">
        <v>559</v>
      </c>
    </row>
    <row r="5" spans="1:15" x14ac:dyDescent="0.3">
      <c r="A5" t="s">
        <v>561</v>
      </c>
      <c r="B5">
        <v>2015</v>
      </c>
      <c r="C5" t="s">
        <v>481</v>
      </c>
      <c r="D5" t="s">
        <v>562</v>
      </c>
      <c r="E5" t="s">
        <v>490</v>
      </c>
      <c r="F5">
        <v>20</v>
      </c>
      <c r="G5" t="s">
        <v>34</v>
      </c>
      <c r="H5" t="s">
        <v>484</v>
      </c>
      <c r="I5">
        <v>346</v>
      </c>
      <c r="J5" t="s">
        <v>485</v>
      </c>
      <c r="K5" s="16" t="s">
        <v>509</v>
      </c>
      <c r="L5" s="16" t="s">
        <v>581</v>
      </c>
      <c r="M5" s="16" t="s">
        <v>510</v>
      </c>
      <c r="N5" s="16" t="s">
        <v>519</v>
      </c>
      <c r="O5" s="16" t="s">
        <v>504</v>
      </c>
    </row>
    <row r="6" spans="1:15" x14ac:dyDescent="0.3">
      <c r="A6" t="s">
        <v>574</v>
      </c>
      <c r="B6">
        <v>2015</v>
      </c>
      <c r="C6" t="s">
        <v>481</v>
      </c>
      <c r="D6" s="16" t="s">
        <v>492</v>
      </c>
      <c r="E6" s="16" t="s">
        <v>490</v>
      </c>
      <c r="F6">
        <v>23</v>
      </c>
      <c r="G6" t="s">
        <v>34</v>
      </c>
      <c r="H6" s="16" t="s">
        <v>484</v>
      </c>
      <c r="I6">
        <v>6</v>
      </c>
      <c r="J6" s="16" t="s">
        <v>485</v>
      </c>
      <c r="K6" s="16" t="s">
        <v>518</v>
      </c>
      <c r="L6" s="16" t="s">
        <v>580</v>
      </c>
      <c r="M6" t="s">
        <v>514</v>
      </c>
      <c r="N6" s="22" t="s">
        <v>557</v>
      </c>
      <c r="O6" s="16" t="s">
        <v>575</v>
      </c>
    </row>
    <row r="7" spans="1:15" x14ac:dyDescent="0.3">
      <c r="A7" s="16" t="s">
        <v>576</v>
      </c>
      <c r="B7">
        <v>2016</v>
      </c>
      <c r="C7" s="16" t="s">
        <v>481</v>
      </c>
      <c r="D7" s="16" t="s">
        <v>589</v>
      </c>
      <c r="E7" s="16" t="s">
        <v>497</v>
      </c>
      <c r="F7">
        <v>52</v>
      </c>
      <c r="G7" t="s">
        <v>300</v>
      </c>
      <c r="H7" s="16" t="s">
        <v>484</v>
      </c>
      <c r="I7">
        <v>117</v>
      </c>
      <c r="J7" s="16" t="s">
        <v>577</v>
      </c>
      <c r="K7" s="16" t="s">
        <v>578</v>
      </c>
      <c r="L7" s="16" t="s">
        <v>502</v>
      </c>
      <c r="M7" s="16" t="s">
        <v>510</v>
      </c>
      <c r="N7" s="16" t="s">
        <v>519</v>
      </c>
      <c r="O7" s="16" t="s">
        <v>579</v>
      </c>
    </row>
    <row r="8" spans="1:15" x14ac:dyDescent="0.3">
      <c r="A8" s="17" t="s">
        <v>499</v>
      </c>
      <c r="B8">
        <v>2016</v>
      </c>
      <c r="C8" s="16" t="s">
        <v>481</v>
      </c>
      <c r="D8" s="16" t="s">
        <v>500</v>
      </c>
      <c r="E8" s="16" t="s">
        <v>490</v>
      </c>
      <c r="F8">
        <v>47</v>
      </c>
      <c r="G8" t="s">
        <v>34</v>
      </c>
      <c r="H8" s="16" t="s">
        <v>484</v>
      </c>
      <c r="I8">
        <v>104</v>
      </c>
      <c r="J8" s="16" t="s">
        <v>501</v>
      </c>
      <c r="K8" s="16" t="s">
        <v>485</v>
      </c>
      <c r="L8" s="16" t="s">
        <v>502</v>
      </c>
      <c r="M8" t="s">
        <v>503</v>
      </c>
      <c r="N8" s="16" t="s">
        <v>504</v>
      </c>
      <c r="O8" s="16" t="s">
        <v>505</v>
      </c>
    </row>
    <row r="9" spans="1:15" x14ac:dyDescent="0.3">
      <c r="A9" s="17" t="s">
        <v>506</v>
      </c>
      <c r="B9">
        <v>2017</v>
      </c>
      <c r="C9" s="16" t="s">
        <v>507</v>
      </c>
      <c r="D9" s="16" t="s">
        <v>508</v>
      </c>
      <c r="E9" s="16" t="s">
        <v>490</v>
      </c>
      <c r="F9">
        <v>55</v>
      </c>
      <c r="G9" t="s">
        <v>118</v>
      </c>
      <c r="H9" s="16" t="s">
        <v>484</v>
      </c>
      <c r="I9">
        <v>175</v>
      </c>
      <c r="J9" s="16" t="s">
        <v>485</v>
      </c>
      <c r="K9" s="16" t="s">
        <v>509</v>
      </c>
      <c r="L9" t="s">
        <v>487</v>
      </c>
      <c r="M9" t="s">
        <v>510</v>
      </c>
      <c r="N9" s="16" t="s">
        <v>631</v>
      </c>
      <c r="O9" s="16" t="s">
        <v>512</v>
      </c>
    </row>
    <row r="10" spans="1:15" x14ac:dyDescent="0.3">
      <c r="A10" s="17" t="s">
        <v>513</v>
      </c>
      <c r="B10">
        <v>2018</v>
      </c>
      <c r="C10" s="16" t="s">
        <v>481</v>
      </c>
      <c r="D10" s="16" t="s">
        <v>492</v>
      </c>
      <c r="E10" s="16" t="s">
        <v>490</v>
      </c>
      <c r="F10">
        <v>13</v>
      </c>
      <c r="G10" t="s">
        <v>34</v>
      </c>
      <c r="H10" s="16" t="s">
        <v>484</v>
      </c>
      <c r="I10">
        <v>4</v>
      </c>
      <c r="J10" s="16" t="s">
        <v>485</v>
      </c>
      <c r="K10" s="16" t="s">
        <v>518</v>
      </c>
      <c r="L10" s="16" t="s">
        <v>502</v>
      </c>
      <c r="M10" t="s">
        <v>514</v>
      </c>
      <c r="N10" s="16" t="s">
        <v>515</v>
      </c>
      <c r="O10" s="16" t="s">
        <v>575</v>
      </c>
    </row>
    <row r="11" spans="1:15" x14ac:dyDescent="0.3">
      <c r="A11" s="17" t="s">
        <v>516</v>
      </c>
      <c r="B11">
        <v>2018</v>
      </c>
      <c r="C11" s="16" t="s">
        <v>481</v>
      </c>
      <c r="D11" s="16" t="s">
        <v>517</v>
      </c>
      <c r="E11" s="16" t="s">
        <v>490</v>
      </c>
      <c r="F11">
        <v>19</v>
      </c>
      <c r="G11" t="s">
        <v>34</v>
      </c>
      <c r="H11" s="16" t="s">
        <v>484</v>
      </c>
      <c r="I11">
        <v>110</v>
      </c>
      <c r="J11" s="16" t="s">
        <v>485</v>
      </c>
      <c r="K11" s="16" t="s">
        <v>518</v>
      </c>
      <c r="L11" s="16" t="s">
        <v>502</v>
      </c>
      <c r="M11" s="16" t="s">
        <v>510</v>
      </c>
      <c r="N11" s="16" t="s">
        <v>519</v>
      </c>
      <c r="O11" s="16" t="s">
        <v>520</v>
      </c>
    </row>
    <row r="12" spans="1:15" x14ac:dyDescent="0.3">
      <c r="A12" t="s">
        <v>572</v>
      </c>
      <c r="B12">
        <v>2020</v>
      </c>
      <c r="C12" t="s">
        <v>481</v>
      </c>
      <c r="D12" t="s">
        <v>508</v>
      </c>
      <c r="E12" s="16" t="s">
        <v>490</v>
      </c>
      <c r="F12">
        <v>38</v>
      </c>
      <c r="G12" t="s">
        <v>126</v>
      </c>
      <c r="H12" t="s">
        <v>484</v>
      </c>
      <c r="I12">
        <v>8</v>
      </c>
      <c r="J12" t="s">
        <v>485</v>
      </c>
      <c r="K12" s="16" t="s">
        <v>518</v>
      </c>
      <c r="L12" s="16" t="s">
        <v>487</v>
      </c>
      <c r="M12" s="16" t="s">
        <v>510</v>
      </c>
      <c r="N12" s="16" t="s">
        <v>496</v>
      </c>
      <c r="O12" s="16" t="s">
        <v>636</v>
      </c>
    </row>
    <row r="13" spans="1:15" x14ac:dyDescent="0.3">
      <c r="A13" s="17" t="s">
        <v>525</v>
      </c>
      <c r="B13">
        <v>2020</v>
      </c>
      <c r="C13" s="16" t="s">
        <v>481</v>
      </c>
      <c r="D13" s="16" t="s">
        <v>526</v>
      </c>
      <c r="E13" s="16" t="s">
        <v>490</v>
      </c>
      <c r="F13">
        <v>49</v>
      </c>
      <c r="G13" t="s">
        <v>527</v>
      </c>
      <c r="H13" s="16" t="s">
        <v>528</v>
      </c>
      <c r="I13">
        <v>50</v>
      </c>
      <c r="J13" s="16" t="s">
        <v>485</v>
      </c>
      <c r="K13" s="16" t="s">
        <v>518</v>
      </c>
      <c r="L13" t="s">
        <v>487</v>
      </c>
      <c r="M13" s="16" t="s">
        <v>510</v>
      </c>
      <c r="N13" s="16" t="s">
        <v>489</v>
      </c>
      <c r="O13" s="16" t="s">
        <v>529</v>
      </c>
    </row>
    <row r="14" spans="1:15" x14ac:dyDescent="0.3">
      <c r="A14" s="17" t="s">
        <v>521</v>
      </c>
      <c r="B14">
        <v>2020</v>
      </c>
      <c r="C14" s="16" t="s">
        <v>481</v>
      </c>
      <c r="D14" s="16" t="s">
        <v>522</v>
      </c>
      <c r="E14" s="16" t="s">
        <v>490</v>
      </c>
      <c r="F14">
        <v>13</v>
      </c>
      <c r="G14" t="s">
        <v>34</v>
      </c>
      <c r="H14" s="16" t="s">
        <v>484</v>
      </c>
      <c r="I14">
        <v>237</v>
      </c>
      <c r="J14" s="16" t="s">
        <v>485</v>
      </c>
      <c r="K14" s="16" t="s">
        <v>518</v>
      </c>
      <c r="L14" s="16" t="s">
        <v>502</v>
      </c>
      <c r="M14" s="16" t="s">
        <v>510</v>
      </c>
      <c r="N14" s="16" t="s">
        <v>632</v>
      </c>
      <c r="O14" s="16" t="s">
        <v>524</v>
      </c>
    </row>
    <row r="15" spans="1:15" x14ac:dyDescent="0.3">
      <c r="A15" s="17" t="s">
        <v>530</v>
      </c>
      <c r="B15">
        <v>2020</v>
      </c>
      <c r="C15" s="16" t="s">
        <v>481</v>
      </c>
      <c r="D15" s="16" t="s">
        <v>517</v>
      </c>
      <c r="E15" s="16" t="s">
        <v>490</v>
      </c>
      <c r="F15">
        <v>9</v>
      </c>
      <c r="G15" t="s">
        <v>34</v>
      </c>
      <c r="H15" s="16" t="s">
        <v>484</v>
      </c>
      <c r="I15">
        <v>52</v>
      </c>
      <c r="J15" s="16" t="s">
        <v>485</v>
      </c>
      <c r="K15" s="16" t="s">
        <v>509</v>
      </c>
      <c r="L15" s="16" t="s">
        <v>531</v>
      </c>
      <c r="M15" s="16" t="s">
        <v>510</v>
      </c>
      <c r="N15" s="16" t="s">
        <v>519</v>
      </c>
      <c r="O15" s="22" t="s">
        <v>579</v>
      </c>
    </row>
    <row r="16" spans="1:15" x14ac:dyDescent="0.3">
      <c r="A16" t="s">
        <v>564</v>
      </c>
      <c r="B16">
        <v>2020</v>
      </c>
      <c r="C16" t="s">
        <v>481</v>
      </c>
      <c r="D16" s="16" t="s">
        <v>584</v>
      </c>
      <c r="E16" t="s">
        <v>566</v>
      </c>
      <c r="F16">
        <v>0</v>
      </c>
      <c r="G16" t="s">
        <v>565</v>
      </c>
      <c r="H16" t="s">
        <v>484</v>
      </c>
      <c r="I16">
        <v>40</v>
      </c>
      <c r="J16" t="s">
        <v>485</v>
      </c>
      <c r="K16" s="16" t="s">
        <v>518</v>
      </c>
      <c r="L16" s="16" t="s">
        <v>502</v>
      </c>
      <c r="M16" t="s">
        <v>567</v>
      </c>
      <c r="N16" s="22" t="s">
        <v>629</v>
      </c>
      <c r="O16" s="16" t="s">
        <v>568</v>
      </c>
    </row>
    <row r="17" spans="1:15" x14ac:dyDescent="0.3">
      <c r="A17" s="17" t="s">
        <v>538</v>
      </c>
      <c r="B17">
        <v>2021</v>
      </c>
      <c r="C17" s="16" t="s">
        <v>481</v>
      </c>
      <c r="D17" s="16" t="s">
        <v>539</v>
      </c>
      <c r="E17" s="16" t="s">
        <v>490</v>
      </c>
      <c r="F17">
        <v>33</v>
      </c>
      <c r="G17" t="s">
        <v>43</v>
      </c>
      <c r="H17" s="16" t="s">
        <v>484</v>
      </c>
      <c r="I17">
        <v>142</v>
      </c>
      <c r="J17" s="16" t="s">
        <v>485</v>
      </c>
      <c r="K17" s="16" t="s">
        <v>509</v>
      </c>
      <c r="L17" s="16" t="s">
        <v>487</v>
      </c>
      <c r="M17" s="16" t="s">
        <v>503</v>
      </c>
      <c r="N17" s="16" t="s">
        <v>634</v>
      </c>
      <c r="O17" t="s">
        <v>540</v>
      </c>
    </row>
    <row r="18" spans="1:15" x14ac:dyDescent="0.3">
      <c r="A18" s="17" t="s">
        <v>542</v>
      </c>
      <c r="B18">
        <v>2021</v>
      </c>
      <c r="C18" s="16" t="s">
        <v>481</v>
      </c>
      <c r="D18" s="16" t="s">
        <v>543</v>
      </c>
      <c r="E18" s="16" t="s">
        <v>490</v>
      </c>
      <c r="F18">
        <v>12</v>
      </c>
      <c r="G18" t="s">
        <v>43</v>
      </c>
      <c r="H18" s="16" t="s">
        <v>484</v>
      </c>
      <c r="I18">
        <v>89</v>
      </c>
      <c r="J18" s="16" t="s">
        <v>485</v>
      </c>
      <c r="K18" s="16" t="s">
        <v>544</v>
      </c>
      <c r="L18" t="s">
        <v>545</v>
      </c>
      <c r="M18" t="s">
        <v>546</v>
      </c>
      <c r="N18" s="16" t="s">
        <v>519</v>
      </c>
      <c r="O18" s="16" t="s">
        <v>568</v>
      </c>
    </row>
    <row r="19" spans="1:15" x14ac:dyDescent="0.3">
      <c r="A19" s="17" t="s">
        <v>535</v>
      </c>
      <c r="B19">
        <v>2021</v>
      </c>
      <c r="C19" s="16" t="s">
        <v>481</v>
      </c>
      <c r="D19" s="16" t="s">
        <v>536</v>
      </c>
      <c r="E19" s="16" t="s">
        <v>490</v>
      </c>
      <c r="F19">
        <v>12</v>
      </c>
      <c r="G19" t="s">
        <v>537</v>
      </c>
      <c r="H19" s="16" t="s">
        <v>484</v>
      </c>
      <c r="I19">
        <v>65</v>
      </c>
      <c r="J19" s="16" t="s">
        <v>485</v>
      </c>
      <c r="K19" s="16" t="s">
        <v>518</v>
      </c>
      <c r="L19" s="16" t="s">
        <v>487</v>
      </c>
      <c r="M19" s="16" t="s">
        <v>510</v>
      </c>
      <c r="N19" s="16" t="s">
        <v>519</v>
      </c>
      <c r="O19" s="16" t="s">
        <v>635</v>
      </c>
    </row>
    <row r="20" spans="1:15" x14ac:dyDescent="0.3">
      <c r="A20" t="s">
        <v>569</v>
      </c>
      <c r="B20">
        <v>2021</v>
      </c>
      <c r="C20" t="s">
        <v>481</v>
      </c>
      <c r="D20" t="s">
        <v>508</v>
      </c>
      <c r="E20" s="16" t="s">
        <v>497</v>
      </c>
      <c r="F20">
        <v>19</v>
      </c>
      <c r="G20" t="s">
        <v>275</v>
      </c>
      <c r="H20" t="s">
        <v>484</v>
      </c>
      <c r="I20">
        <v>300</v>
      </c>
      <c r="J20" t="s">
        <v>485</v>
      </c>
      <c r="K20" s="16" t="s">
        <v>570</v>
      </c>
      <c r="L20" t="s">
        <v>487</v>
      </c>
      <c r="M20" s="16" t="s">
        <v>503</v>
      </c>
      <c r="N20" t="s">
        <v>571</v>
      </c>
      <c r="O20" s="16" t="s">
        <v>540</v>
      </c>
    </row>
    <row r="21" spans="1:15" x14ac:dyDescent="0.3">
      <c r="A21" t="s">
        <v>480</v>
      </c>
      <c r="B21">
        <v>2022</v>
      </c>
      <c r="C21" t="s">
        <v>481</v>
      </c>
      <c r="D21" t="s">
        <v>482</v>
      </c>
      <c r="E21" t="s">
        <v>490</v>
      </c>
      <c r="F21">
        <v>6</v>
      </c>
      <c r="G21" t="s">
        <v>483</v>
      </c>
      <c r="H21" t="s">
        <v>484</v>
      </c>
      <c r="I21">
        <v>719</v>
      </c>
      <c r="J21" t="s">
        <v>485</v>
      </c>
      <c r="K21" t="s">
        <v>486</v>
      </c>
      <c r="L21" t="s">
        <v>487</v>
      </c>
      <c r="M21" t="s">
        <v>488</v>
      </c>
      <c r="N21" t="s">
        <v>504</v>
      </c>
      <c r="O21" t="s">
        <v>489</v>
      </c>
    </row>
    <row r="22" spans="1:15" x14ac:dyDescent="0.3">
      <c r="A22" s="17" t="s">
        <v>547</v>
      </c>
      <c r="B22">
        <v>2022</v>
      </c>
      <c r="C22" s="16" t="s">
        <v>481</v>
      </c>
      <c r="D22" s="16" t="s">
        <v>500</v>
      </c>
      <c r="E22" s="16" t="s">
        <v>490</v>
      </c>
      <c r="F22">
        <v>28</v>
      </c>
      <c r="G22" t="s">
        <v>548</v>
      </c>
      <c r="H22" s="16" t="s">
        <v>484</v>
      </c>
      <c r="I22">
        <v>131</v>
      </c>
      <c r="J22" s="16" t="s">
        <v>485</v>
      </c>
      <c r="K22" s="16" t="s">
        <v>509</v>
      </c>
      <c r="L22" s="16" t="s">
        <v>549</v>
      </c>
      <c r="M22" s="16" t="s">
        <v>510</v>
      </c>
      <c r="N22" s="16" t="s">
        <v>519</v>
      </c>
      <c r="O22" s="16" t="s">
        <v>550</v>
      </c>
    </row>
    <row r="23" spans="1:15" x14ac:dyDescent="0.3">
      <c r="A23" t="s">
        <v>558</v>
      </c>
      <c r="B23">
        <v>2022</v>
      </c>
      <c r="C23" t="s">
        <v>481</v>
      </c>
      <c r="D23" s="16" t="s">
        <v>583</v>
      </c>
      <c r="E23" t="s">
        <v>497</v>
      </c>
      <c r="F23">
        <v>6</v>
      </c>
      <c r="G23" t="s">
        <v>317</v>
      </c>
      <c r="H23" t="s">
        <v>484</v>
      </c>
      <c r="I23">
        <v>100</v>
      </c>
      <c r="J23" t="s">
        <v>485</v>
      </c>
      <c r="K23" s="16" t="s">
        <v>509</v>
      </c>
      <c r="L23" s="16" t="s">
        <v>502</v>
      </c>
      <c r="M23" s="16" t="s">
        <v>510</v>
      </c>
      <c r="N23" s="16" t="s">
        <v>519</v>
      </c>
      <c r="O23" s="16" t="s">
        <v>512</v>
      </c>
    </row>
    <row r="24" spans="1:15" x14ac:dyDescent="0.3">
      <c r="A24" s="17" t="s">
        <v>551</v>
      </c>
      <c r="B24">
        <v>2022</v>
      </c>
      <c r="C24" s="16" t="s">
        <v>481</v>
      </c>
      <c r="D24" s="16" t="s">
        <v>517</v>
      </c>
      <c r="E24" s="16" t="s">
        <v>490</v>
      </c>
      <c r="F24">
        <v>18</v>
      </c>
      <c r="G24" t="s">
        <v>537</v>
      </c>
      <c r="H24" s="16" t="s">
        <v>484</v>
      </c>
      <c r="I24">
        <v>60</v>
      </c>
      <c r="J24" s="16" t="s">
        <v>485</v>
      </c>
      <c r="K24" s="16" t="s">
        <v>518</v>
      </c>
      <c r="L24" s="16" t="s">
        <v>487</v>
      </c>
      <c r="M24" s="16" t="s">
        <v>510</v>
      </c>
      <c r="N24" s="16" t="s">
        <v>496</v>
      </c>
      <c r="O24" s="16" t="s">
        <v>633</v>
      </c>
    </row>
    <row r="25" spans="1:15" x14ac:dyDescent="0.3">
      <c r="A25" s="17" t="s">
        <v>554</v>
      </c>
      <c r="B25">
        <v>2023</v>
      </c>
      <c r="C25" s="16" t="s">
        <v>555</v>
      </c>
      <c r="D25" s="16" t="s">
        <v>536</v>
      </c>
      <c r="E25" s="16" t="s">
        <v>497</v>
      </c>
      <c r="F25">
        <v>4</v>
      </c>
      <c r="G25" t="s">
        <v>275</v>
      </c>
      <c r="H25" s="16" t="s">
        <v>484</v>
      </c>
      <c r="I25">
        <v>112</v>
      </c>
      <c r="J25" s="16" t="s">
        <v>485</v>
      </c>
      <c r="K25" s="16" t="s">
        <v>509</v>
      </c>
      <c r="L25" s="16" t="s">
        <v>487</v>
      </c>
      <c r="M25" s="16" t="s">
        <v>510</v>
      </c>
      <c r="N25" s="16" t="s">
        <v>519</v>
      </c>
      <c r="O25" s="16" t="s">
        <v>550</v>
      </c>
    </row>
  </sheetData>
  <sortState xmlns:xlrd2="http://schemas.microsoft.com/office/spreadsheetml/2017/richdata2" ref="A2:O25">
    <sortCondition ref="B2:B25"/>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40ADB-E87A-430E-A64C-F7DA132637B2}">
  <dimension ref="A1:D121"/>
  <sheetViews>
    <sheetView topLeftCell="B49" zoomScale="80" zoomScaleNormal="80" workbookViewId="0">
      <selection activeCell="O63" sqref="O63"/>
    </sheetView>
  </sheetViews>
  <sheetFormatPr baseColWidth="10" defaultRowHeight="13.8" x14ac:dyDescent="0.3"/>
  <cols>
    <col min="1" max="1" width="23" bestFit="1" customWidth="1"/>
  </cols>
  <sheetData>
    <row r="1" spans="1:2" x14ac:dyDescent="0.3">
      <c r="A1" s="15" t="s">
        <v>472</v>
      </c>
      <c r="B1" t="s">
        <v>585</v>
      </c>
    </row>
    <row r="2" spans="1:2" x14ac:dyDescent="0.3">
      <c r="A2" t="s">
        <v>126</v>
      </c>
      <c r="B2">
        <v>1</v>
      </c>
    </row>
    <row r="3" spans="1:2" x14ac:dyDescent="0.3">
      <c r="A3" t="s">
        <v>43</v>
      </c>
      <c r="B3">
        <v>2</v>
      </c>
    </row>
    <row r="4" spans="1:2" x14ac:dyDescent="0.3">
      <c r="A4" t="s">
        <v>300</v>
      </c>
      <c r="B4">
        <v>1</v>
      </c>
    </row>
    <row r="5" spans="1:2" x14ac:dyDescent="0.3">
      <c r="A5" t="s">
        <v>483</v>
      </c>
      <c r="B5">
        <v>1</v>
      </c>
    </row>
    <row r="6" spans="1:2" x14ac:dyDescent="0.3">
      <c r="A6" t="s">
        <v>527</v>
      </c>
      <c r="B6">
        <v>1</v>
      </c>
    </row>
    <row r="7" spans="1:2" x14ac:dyDescent="0.3">
      <c r="A7" s="16" t="s">
        <v>292</v>
      </c>
      <c r="B7">
        <v>1</v>
      </c>
    </row>
    <row r="8" spans="1:2" x14ac:dyDescent="0.3">
      <c r="A8" t="s">
        <v>548</v>
      </c>
      <c r="B8">
        <v>1</v>
      </c>
    </row>
    <row r="9" spans="1:2" x14ac:dyDescent="0.3">
      <c r="A9" t="s">
        <v>34</v>
      </c>
      <c r="B9">
        <v>8</v>
      </c>
    </row>
    <row r="10" spans="1:2" x14ac:dyDescent="0.3">
      <c r="A10" t="s">
        <v>118</v>
      </c>
      <c r="B10">
        <v>1</v>
      </c>
    </row>
    <row r="11" spans="1:2" x14ac:dyDescent="0.3">
      <c r="A11" t="s">
        <v>565</v>
      </c>
      <c r="B11">
        <v>1</v>
      </c>
    </row>
    <row r="12" spans="1:2" x14ac:dyDescent="0.3">
      <c r="A12" t="s">
        <v>317</v>
      </c>
      <c r="B12">
        <v>2</v>
      </c>
    </row>
    <row r="13" spans="1:2" x14ac:dyDescent="0.3">
      <c r="A13" t="s">
        <v>537</v>
      </c>
      <c r="B13">
        <v>2</v>
      </c>
    </row>
    <row r="14" spans="1:2" x14ac:dyDescent="0.3">
      <c r="A14" t="s">
        <v>275</v>
      </c>
      <c r="B14">
        <v>2</v>
      </c>
    </row>
    <row r="18" spans="1:2" x14ac:dyDescent="0.3">
      <c r="A18" s="19" t="s">
        <v>469</v>
      </c>
      <c r="B18" s="20" t="s">
        <v>586</v>
      </c>
    </row>
    <row r="19" spans="1:2" x14ac:dyDescent="0.3">
      <c r="A19" s="20" t="s">
        <v>589</v>
      </c>
      <c r="B19" s="20">
        <v>1</v>
      </c>
    </row>
    <row r="20" spans="1:2" x14ac:dyDescent="0.3">
      <c r="A20" s="20" t="s">
        <v>500</v>
      </c>
      <c r="B20" s="20">
        <v>2</v>
      </c>
    </row>
    <row r="21" spans="1:2" x14ac:dyDescent="0.3">
      <c r="A21" s="20" t="s">
        <v>526</v>
      </c>
      <c r="B21" s="20">
        <v>1</v>
      </c>
    </row>
    <row r="22" spans="1:2" x14ac:dyDescent="0.3">
      <c r="A22" s="20" t="s">
        <v>562</v>
      </c>
      <c r="B22" s="20">
        <v>1</v>
      </c>
    </row>
    <row r="23" spans="1:2" x14ac:dyDescent="0.3">
      <c r="A23" s="20" t="s">
        <v>522</v>
      </c>
      <c r="B23" s="20">
        <v>1</v>
      </c>
    </row>
    <row r="24" spans="1:2" x14ac:dyDescent="0.3">
      <c r="A24" s="20" t="s">
        <v>583</v>
      </c>
      <c r="B24" s="20">
        <v>2</v>
      </c>
    </row>
    <row r="25" spans="1:2" x14ac:dyDescent="0.3">
      <c r="A25" s="20" t="s">
        <v>584</v>
      </c>
      <c r="B25" s="20">
        <v>1</v>
      </c>
    </row>
    <row r="26" spans="1:2" x14ac:dyDescent="0.3">
      <c r="A26" s="20" t="s">
        <v>508</v>
      </c>
      <c r="B26" s="20">
        <v>3</v>
      </c>
    </row>
    <row r="27" spans="1:2" x14ac:dyDescent="0.3">
      <c r="A27" s="20" t="s">
        <v>482</v>
      </c>
      <c r="B27" s="20">
        <v>1</v>
      </c>
    </row>
    <row r="28" spans="1:2" x14ac:dyDescent="0.3">
      <c r="A28" s="20" t="s">
        <v>517</v>
      </c>
      <c r="B28" s="20">
        <v>3</v>
      </c>
    </row>
    <row r="29" spans="1:2" x14ac:dyDescent="0.3">
      <c r="A29" s="20" t="s">
        <v>543</v>
      </c>
      <c r="B29" s="20">
        <v>1</v>
      </c>
    </row>
    <row r="30" spans="1:2" x14ac:dyDescent="0.3">
      <c r="A30" s="20" t="s">
        <v>539</v>
      </c>
      <c r="B30" s="20">
        <v>1</v>
      </c>
    </row>
    <row r="31" spans="1:2" x14ac:dyDescent="0.3">
      <c r="A31" s="20" t="s">
        <v>493</v>
      </c>
      <c r="B31" s="20">
        <v>1</v>
      </c>
    </row>
    <row r="32" spans="1:2" x14ac:dyDescent="0.3">
      <c r="A32" s="20" t="s">
        <v>536</v>
      </c>
      <c r="B32" s="20">
        <v>2</v>
      </c>
    </row>
    <row r="33" spans="1:3" x14ac:dyDescent="0.3">
      <c r="A33" s="20" t="s">
        <v>492</v>
      </c>
      <c r="B33" s="20">
        <v>3</v>
      </c>
    </row>
    <row r="38" spans="1:3" x14ac:dyDescent="0.3">
      <c r="A38" s="15" t="s">
        <v>474</v>
      </c>
      <c r="B38" t="s">
        <v>586</v>
      </c>
      <c r="C38" t="s">
        <v>590</v>
      </c>
    </row>
    <row r="39" spans="1:3" x14ac:dyDescent="0.3">
      <c r="A39" t="s">
        <v>485</v>
      </c>
      <c r="B39">
        <v>21</v>
      </c>
      <c r="C39">
        <f>(B39*100)/$B$41</f>
        <v>87.5</v>
      </c>
    </row>
    <row r="40" spans="1:3" x14ac:dyDescent="0.3">
      <c r="A40" s="16" t="s">
        <v>587</v>
      </c>
      <c r="B40">
        <v>3</v>
      </c>
      <c r="C40">
        <f>(B40*100)/$B$41</f>
        <v>12.5</v>
      </c>
    </row>
    <row r="41" spans="1:3" x14ac:dyDescent="0.3">
      <c r="B41">
        <f>SUM(B39:B40)</f>
        <v>24</v>
      </c>
    </row>
    <row r="43" spans="1:3" x14ac:dyDescent="0.3">
      <c r="A43" s="16"/>
    </row>
    <row r="46" spans="1:3" x14ac:dyDescent="0.3">
      <c r="A46" s="15" t="s">
        <v>479</v>
      </c>
      <c r="B46" t="s">
        <v>586</v>
      </c>
    </row>
    <row r="47" spans="1:3" x14ac:dyDescent="0.3">
      <c r="A47" s="16" t="s">
        <v>487</v>
      </c>
      <c r="B47">
        <v>11</v>
      </c>
      <c r="C47" s="21">
        <f>(B47*100)/$B$54</f>
        <v>45.833333333333336</v>
      </c>
    </row>
    <row r="48" spans="1:3" x14ac:dyDescent="0.3">
      <c r="A48" s="16" t="s">
        <v>549</v>
      </c>
      <c r="B48">
        <v>1</v>
      </c>
      <c r="C48" s="21">
        <f t="shared" ref="C48:C53" si="0">(B48*100)/$B$54</f>
        <v>4.166666666666667</v>
      </c>
    </row>
    <row r="49" spans="1:3" x14ac:dyDescent="0.3">
      <c r="A49" s="16" t="s">
        <v>582</v>
      </c>
      <c r="B49">
        <v>1</v>
      </c>
      <c r="C49" s="21">
        <f t="shared" si="0"/>
        <v>4.166666666666667</v>
      </c>
    </row>
    <row r="50" spans="1:3" x14ac:dyDescent="0.3">
      <c r="A50" t="s">
        <v>545</v>
      </c>
      <c r="B50">
        <v>1</v>
      </c>
      <c r="C50" s="21">
        <f t="shared" si="0"/>
        <v>4.166666666666667</v>
      </c>
    </row>
    <row r="51" spans="1:3" x14ac:dyDescent="0.3">
      <c r="A51" s="16" t="s">
        <v>581</v>
      </c>
      <c r="B51">
        <v>2</v>
      </c>
      <c r="C51" s="21">
        <f t="shared" si="0"/>
        <v>8.3333333333333339</v>
      </c>
    </row>
    <row r="52" spans="1:3" x14ac:dyDescent="0.3">
      <c r="A52" s="16" t="s">
        <v>502</v>
      </c>
      <c r="B52">
        <v>7</v>
      </c>
      <c r="C52" s="21">
        <f t="shared" si="0"/>
        <v>29.166666666666668</v>
      </c>
    </row>
    <row r="53" spans="1:3" x14ac:dyDescent="0.3">
      <c r="A53" s="16" t="s">
        <v>531</v>
      </c>
      <c r="B53">
        <v>1</v>
      </c>
      <c r="C53" s="21">
        <f t="shared" si="0"/>
        <v>4.166666666666667</v>
      </c>
    </row>
    <row r="54" spans="1:3" x14ac:dyDescent="0.3">
      <c r="A54" s="16"/>
      <c r="B54">
        <f>SUM(B47:B53)</f>
        <v>24</v>
      </c>
    </row>
    <row r="55" spans="1:3" x14ac:dyDescent="0.3">
      <c r="A55" s="16"/>
    </row>
    <row r="56" spans="1:3" x14ac:dyDescent="0.3">
      <c r="A56" s="16"/>
    </row>
    <row r="57" spans="1:3" x14ac:dyDescent="0.3">
      <c r="A57" s="16"/>
    </row>
    <row r="58" spans="1:3" x14ac:dyDescent="0.3">
      <c r="A58" s="16"/>
    </row>
    <row r="63" spans="1:3" x14ac:dyDescent="0.3">
      <c r="A63" s="15" t="s">
        <v>476</v>
      </c>
      <c r="B63" t="s">
        <v>586</v>
      </c>
      <c r="C63" t="s">
        <v>590</v>
      </c>
    </row>
    <row r="64" spans="1:3" x14ac:dyDescent="0.3">
      <c r="A64" s="18" t="s">
        <v>514</v>
      </c>
      <c r="B64">
        <v>2</v>
      </c>
      <c r="C64" s="21">
        <f>(B64*100)/$D$67</f>
        <v>8.3333333333333339</v>
      </c>
    </row>
    <row r="65" spans="1:4" x14ac:dyDescent="0.3">
      <c r="A65" s="18" t="s">
        <v>503</v>
      </c>
      <c r="B65">
        <v>3</v>
      </c>
      <c r="C65" s="21">
        <f>(B65*100)/$D$67</f>
        <v>12.5</v>
      </c>
    </row>
    <row r="66" spans="1:4" x14ac:dyDescent="0.3">
      <c r="A66" s="18" t="s">
        <v>488</v>
      </c>
      <c r="B66">
        <v>2</v>
      </c>
      <c r="C66" s="21">
        <f>(B66*100)/$D$67</f>
        <v>8.3333333333333339</v>
      </c>
    </row>
    <row r="67" spans="1:4" x14ac:dyDescent="0.3">
      <c r="A67" s="18" t="s">
        <v>588</v>
      </c>
      <c r="B67">
        <v>17</v>
      </c>
      <c r="C67" s="21">
        <f>(B67*100)/$D$67</f>
        <v>70.833333333333329</v>
      </c>
      <c r="D67">
        <f>SUM(B64:B67)</f>
        <v>24</v>
      </c>
    </row>
    <row r="68" spans="1:4" x14ac:dyDescent="0.3">
      <c r="A68" t="s">
        <v>567</v>
      </c>
      <c r="B68">
        <v>1</v>
      </c>
      <c r="C68" s="21">
        <f>(B68*100)/$B$72</f>
        <v>5.882352941176471</v>
      </c>
    </row>
    <row r="69" spans="1:4" x14ac:dyDescent="0.3">
      <c r="A69" t="s">
        <v>546</v>
      </c>
      <c r="B69">
        <v>1</v>
      </c>
      <c r="C69" s="21">
        <f>(B69*100)/$B$72</f>
        <v>5.882352941176471</v>
      </c>
    </row>
    <row r="70" spans="1:4" x14ac:dyDescent="0.3">
      <c r="A70" s="16" t="s">
        <v>510</v>
      </c>
      <c r="B70">
        <v>14</v>
      </c>
      <c r="C70" s="21">
        <f>(B70*100)/$B$72</f>
        <v>82.352941176470594</v>
      </c>
    </row>
    <row r="71" spans="1:4" x14ac:dyDescent="0.3">
      <c r="A71" t="s">
        <v>533</v>
      </c>
      <c r="B71">
        <v>1</v>
      </c>
      <c r="C71" s="21">
        <f>(B71*100)/$B$72</f>
        <v>5.882352941176471</v>
      </c>
    </row>
    <row r="72" spans="1:4" x14ac:dyDescent="0.3">
      <c r="B72">
        <f>SUM(B68:B71)</f>
        <v>17</v>
      </c>
    </row>
    <row r="85" spans="1:2" x14ac:dyDescent="0.3">
      <c r="A85" s="15" t="s">
        <v>477</v>
      </c>
      <c r="B85" s="16" t="s">
        <v>586</v>
      </c>
    </row>
    <row r="86" spans="1:2" x14ac:dyDescent="0.3">
      <c r="A86" s="16" t="s">
        <v>532</v>
      </c>
      <c r="B86">
        <v>1</v>
      </c>
    </row>
    <row r="87" spans="1:2" x14ac:dyDescent="0.3">
      <c r="A87" s="16" t="s">
        <v>496</v>
      </c>
      <c r="B87">
        <v>3</v>
      </c>
    </row>
    <row r="88" spans="1:2" x14ac:dyDescent="0.3">
      <c r="A88" t="s">
        <v>540</v>
      </c>
      <c r="B88">
        <v>1</v>
      </c>
    </row>
    <row r="89" spans="1:2" x14ac:dyDescent="0.3">
      <c r="A89" s="16" t="s">
        <v>523</v>
      </c>
      <c r="B89">
        <v>2</v>
      </c>
    </row>
    <row r="90" spans="1:2" x14ac:dyDescent="0.3">
      <c r="A90" s="16" t="s">
        <v>511</v>
      </c>
      <c r="B90">
        <v>1</v>
      </c>
    </row>
    <row r="91" spans="1:2" x14ac:dyDescent="0.3">
      <c r="A91" s="16" t="s">
        <v>556</v>
      </c>
      <c r="B91">
        <v>1</v>
      </c>
    </row>
    <row r="92" spans="1:2" x14ac:dyDescent="0.3">
      <c r="A92" s="16" t="s">
        <v>504</v>
      </c>
      <c r="B92">
        <v>1</v>
      </c>
    </row>
    <row r="93" spans="1:2" x14ac:dyDescent="0.3">
      <c r="A93" s="16" t="s">
        <v>502</v>
      </c>
      <c r="B93">
        <v>4</v>
      </c>
    </row>
    <row r="94" spans="1:2" x14ac:dyDescent="0.3">
      <c r="A94" s="16" t="s">
        <v>519</v>
      </c>
      <c r="B94">
        <v>7</v>
      </c>
    </row>
    <row r="95" spans="1:2" x14ac:dyDescent="0.3">
      <c r="A95" s="16" t="s">
        <v>541</v>
      </c>
      <c r="B95">
        <v>1</v>
      </c>
    </row>
    <row r="96" spans="1:2" x14ac:dyDescent="0.3">
      <c r="A96" s="16" t="s">
        <v>515</v>
      </c>
      <c r="B96">
        <v>1</v>
      </c>
    </row>
    <row r="97" spans="1:2" x14ac:dyDescent="0.3">
      <c r="A97" s="16" t="s">
        <v>489</v>
      </c>
      <c r="B97">
        <v>1</v>
      </c>
    </row>
    <row r="103" spans="1:2" x14ac:dyDescent="0.3">
      <c r="A103" s="15" t="s">
        <v>478</v>
      </c>
      <c r="B103" t="s">
        <v>586</v>
      </c>
    </row>
    <row r="104" spans="1:2" x14ac:dyDescent="0.3">
      <c r="A104" s="16" t="s">
        <v>573</v>
      </c>
      <c r="B104">
        <v>3</v>
      </c>
    </row>
    <row r="105" spans="1:2" x14ac:dyDescent="0.3">
      <c r="A105" s="16" t="s">
        <v>557</v>
      </c>
      <c r="B105">
        <v>1</v>
      </c>
    </row>
    <row r="106" spans="1:2" x14ac:dyDescent="0.3">
      <c r="A106" s="16" t="s">
        <v>552</v>
      </c>
      <c r="B106">
        <v>1</v>
      </c>
    </row>
    <row r="107" spans="1:2" x14ac:dyDescent="0.3">
      <c r="A107" t="s">
        <v>540</v>
      </c>
      <c r="B107">
        <v>1</v>
      </c>
    </row>
    <row r="108" spans="1:2" x14ac:dyDescent="0.3">
      <c r="A108" s="16" t="s">
        <v>553</v>
      </c>
      <c r="B108">
        <v>1</v>
      </c>
    </row>
    <row r="109" spans="1:2" x14ac:dyDescent="0.3">
      <c r="A109" s="16" t="s">
        <v>524</v>
      </c>
      <c r="B109">
        <v>1</v>
      </c>
    </row>
    <row r="110" spans="1:2" x14ac:dyDescent="0.3">
      <c r="A110" s="16" t="s">
        <v>512</v>
      </c>
      <c r="B110">
        <v>2</v>
      </c>
    </row>
    <row r="111" spans="1:2" x14ac:dyDescent="0.3">
      <c r="A111" s="16" t="s">
        <v>529</v>
      </c>
      <c r="B111">
        <v>1</v>
      </c>
    </row>
    <row r="112" spans="1:2" x14ac:dyDescent="0.3">
      <c r="A112" s="16" t="s">
        <v>563</v>
      </c>
      <c r="B112">
        <v>1</v>
      </c>
    </row>
    <row r="113" spans="1:2" x14ac:dyDescent="0.3">
      <c r="A113" s="16" t="s">
        <v>579</v>
      </c>
      <c r="B113">
        <v>1</v>
      </c>
    </row>
    <row r="114" spans="1:2" x14ac:dyDescent="0.3">
      <c r="A114" s="16" t="s">
        <v>550</v>
      </c>
      <c r="B114">
        <v>1</v>
      </c>
    </row>
    <row r="115" spans="1:2" x14ac:dyDescent="0.3">
      <c r="A115" s="16" t="s">
        <v>502</v>
      </c>
      <c r="B115">
        <v>1</v>
      </c>
    </row>
    <row r="116" spans="1:2" x14ac:dyDescent="0.3">
      <c r="A116" s="16" t="s">
        <v>559</v>
      </c>
      <c r="B116">
        <v>1</v>
      </c>
    </row>
    <row r="117" spans="1:2" x14ac:dyDescent="0.3">
      <c r="A117" t="s">
        <v>571</v>
      </c>
      <c r="B117">
        <v>1</v>
      </c>
    </row>
    <row r="118" spans="1:2" x14ac:dyDescent="0.3">
      <c r="A118" s="16" t="s">
        <v>520</v>
      </c>
      <c r="B118">
        <v>2</v>
      </c>
    </row>
    <row r="119" spans="1:2" x14ac:dyDescent="0.3">
      <c r="A119" s="16" t="s">
        <v>534</v>
      </c>
      <c r="B119">
        <v>2</v>
      </c>
    </row>
    <row r="120" spans="1:2" x14ac:dyDescent="0.3">
      <c r="A120" s="16" t="s">
        <v>505</v>
      </c>
      <c r="B120">
        <v>1</v>
      </c>
    </row>
    <row r="121" spans="1:2" x14ac:dyDescent="0.3">
      <c r="A121" s="16" t="s">
        <v>575</v>
      </c>
      <c r="B121">
        <v>2</v>
      </c>
    </row>
  </sheetData>
  <sortState xmlns:xlrd2="http://schemas.microsoft.com/office/spreadsheetml/2017/richdata2" ref="A105:A121">
    <sortCondition ref="A104:A121"/>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5E67E-0891-4281-99F2-5B94EC47F897}">
  <dimension ref="A1:C28"/>
  <sheetViews>
    <sheetView topLeftCell="A4" workbookViewId="0">
      <selection activeCell="E16" sqref="E16"/>
    </sheetView>
  </sheetViews>
  <sheetFormatPr baseColWidth="10" defaultRowHeight="13.8" x14ac:dyDescent="0.3"/>
  <sheetData>
    <row r="1" spans="1:3" x14ac:dyDescent="0.3">
      <c r="A1" s="16" t="s">
        <v>591</v>
      </c>
      <c r="B1" t="s">
        <v>592</v>
      </c>
      <c r="C1" t="s">
        <v>593</v>
      </c>
    </row>
    <row r="2" spans="1:3" x14ac:dyDescent="0.3">
      <c r="A2" s="22" t="s">
        <v>557</v>
      </c>
      <c r="B2">
        <v>1</v>
      </c>
      <c r="C2" s="17">
        <v>0</v>
      </c>
    </row>
    <row r="3" spans="1:3" x14ac:dyDescent="0.3">
      <c r="A3" s="16" t="s">
        <v>632</v>
      </c>
      <c r="B3">
        <v>1</v>
      </c>
      <c r="C3">
        <v>0</v>
      </c>
    </row>
    <row r="4" spans="1:3" x14ac:dyDescent="0.3">
      <c r="A4" s="16" t="s">
        <v>637</v>
      </c>
      <c r="B4">
        <v>0</v>
      </c>
      <c r="C4" s="17">
        <v>1</v>
      </c>
    </row>
    <row r="5" spans="1:3" x14ac:dyDescent="0.3">
      <c r="A5" s="16" t="s">
        <v>496</v>
      </c>
      <c r="B5">
        <v>3</v>
      </c>
      <c r="C5">
        <v>0</v>
      </c>
    </row>
    <row r="6" spans="1:3" x14ac:dyDescent="0.3">
      <c r="A6" t="s">
        <v>540</v>
      </c>
      <c r="B6">
        <v>0</v>
      </c>
      <c r="C6" s="17">
        <v>2</v>
      </c>
    </row>
    <row r="7" spans="1:3" x14ac:dyDescent="0.3">
      <c r="A7" s="16" t="s">
        <v>553</v>
      </c>
      <c r="B7">
        <v>0</v>
      </c>
      <c r="C7" s="17">
        <v>1</v>
      </c>
    </row>
    <row r="8" spans="1:3" x14ac:dyDescent="0.3">
      <c r="A8" s="16" t="s">
        <v>631</v>
      </c>
      <c r="B8">
        <v>1</v>
      </c>
      <c r="C8" s="17">
        <v>0</v>
      </c>
    </row>
    <row r="9" spans="1:3" x14ac:dyDescent="0.3">
      <c r="A9" s="16" t="s">
        <v>504</v>
      </c>
      <c r="B9">
        <v>2</v>
      </c>
      <c r="C9" s="17">
        <v>1</v>
      </c>
    </row>
    <row r="10" spans="1:3" x14ac:dyDescent="0.3">
      <c r="A10" s="16" t="s">
        <v>524</v>
      </c>
      <c r="B10">
        <v>0</v>
      </c>
      <c r="C10" s="17">
        <v>1</v>
      </c>
    </row>
    <row r="11" spans="1:3" x14ac:dyDescent="0.3">
      <c r="A11" s="16" t="s">
        <v>512</v>
      </c>
      <c r="B11">
        <v>0</v>
      </c>
      <c r="C11" s="17">
        <v>2</v>
      </c>
    </row>
    <row r="12" spans="1:3" x14ac:dyDescent="0.3">
      <c r="A12" s="16" t="s">
        <v>529</v>
      </c>
      <c r="B12">
        <v>0</v>
      </c>
      <c r="C12" s="17">
        <v>1</v>
      </c>
    </row>
    <row r="13" spans="1:3" x14ac:dyDescent="0.3">
      <c r="A13" s="22" t="s">
        <v>629</v>
      </c>
      <c r="B13">
        <v>1</v>
      </c>
      <c r="C13" s="17">
        <v>0</v>
      </c>
    </row>
    <row r="14" spans="1:3" x14ac:dyDescent="0.3">
      <c r="A14" s="16" t="s">
        <v>568</v>
      </c>
      <c r="B14">
        <v>0</v>
      </c>
      <c r="C14" s="17">
        <v>4</v>
      </c>
    </row>
    <row r="15" spans="1:3" x14ac:dyDescent="0.3">
      <c r="A15" s="23" t="s">
        <v>630</v>
      </c>
      <c r="B15">
        <v>1</v>
      </c>
      <c r="C15" s="17">
        <v>0</v>
      </c>
    </row>
    <row r="16" spans="1:3" x14ac:dyDescent="0.3">
      <c r="A16" s="16" t="s">
        <v>579</v>
      </c>
      <c r="B16">
        <v>0</v>
      </c>
      <c r="C16">
        <v>2</v>
      </c>
    </row>
    <row r="17" spans="1:3" x14ac:dyDescent="0.3">
      <c r="A17" s="16" t="s">
        <v>550</v>
      </c>
      <c r="B17">
        <v>0</v>
      </c>
      <c r="C17">
        <v>2</v>
      </c>
    </row>
    <row r="18" spans="1:3" x14ac:dyDescent="0.3">
      <c r="A18" s="22" t="s">
        <v>628</v>
      </c>
      <c r="B18">
        <v>1</v>
      </c>
      <c r="C18" s="17">
        <v>0</v>
      </c>
    </row>
    <row r="19" spans="1:3" x14ac:dyDescent="0.3">
      <c r="A19" s="16" t="s">
        <v>559</v>
      </c>
      <c r="B19">
        <v>0</v>
      </c>
      <c r="C19">
        <v>1</v>
      </c>
    </row>
    <row r="20" spans="1:3" x14ac:dyDescent="0.3">
      <c r="A20" s="16" t="s">
        <v>519</v>
      </c>
      <c r="B20">
        <v>9</v>
      </c>
      <c r="C20" s="17">
        <v>0</v>
      </c>
    </row>
    <row r="21" spans="1:3" x14ac:dyDescent="0.3">
      <c r="A21" t="s">
        <v>571</v>
      </c>
      <c r="B21">
        <v>1</v>
      </c>
      <c r="C21" s="16">
        <v>0</v>
      </c>
    </row>
    <row r="22" spans="1:3" x14ac:dyDescent="0.3">
      <c r="A22" s="16" t="s">
        <v>634</v>
      </c>
      <c r="B22">
        <v>1</v>
      </c>
      <c r="C22" s="17">
        <v>0</v>
      </c>
    </row>
    <row r="23" spans="1:3" x14ac:dyDescent="0.3">
      <c r="A23" s="16" t="s">
        <v>520</v>
      </c>
      <c r="B23">
        <v>0</v>
      </c>
      <c r="C23">
        <v>2</v>
      </c>
    </row>
    <row r="24" spans="1:3" x14ac:dyDescent="0.3">
      <c r="A24" t="s">
        <v>534</v>
      </c>
      <c r="B24">
        <v>0</v>
      </c>
      <c r="C24">
        <v>1</v>
      </c>
    </row>
    <row r="25" spans="1:3" x14ac:dyDescent="0.3">
      <c r="A25" s="16" t="s">
        <v>515</v>
      </c>
      <c r="B25">
        <v>1</v>
      </c>
      <c r="C25" s="17">
        <v>0</v>
      </c>
    </row>
    <row r="26" spans="1:3" x14ac:dyDescent="0.3">
      <c r="A26" s="16" t="s">
        <v>505</v>
      </c>
      <c r="B26">
        <v>0</v>
      </c>
      <c r="C26">
        <v>1</v>
      </c>
    </row>
    <row r="27" spans="1:3" x14ac:dyDescent="0.3">
      <c r="A27" s="16" t="s">
        <v>575</v>
      </c>
      <c r="B27">
        <v>0</v>
      </c>
      <c r="C27">
        <v>2</v>
      </c>
    </row>
    <row r="28" spans="1:3" x14ac:dyDescent="0.3">
      <c r="A28" s="16" t="s">
        <v>489</v>
      </c>
      <c r="B28">
        <v>1</v>
      </c>
      <c r="C28" s="17">
        <v>2</v>
      </c>
    </row>
  </sheetData>
  <sortState xmlns:xlrd2="http://schemas.microsoft.com/office/spreadsheetml/2017/richdata2" ref="A2:C29">
    <sortCondition ref="A1:A29"/>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F2794-213B-4017-806E-C8CDD6468935}">
  <dimension ref="A1:F9"/>
  <sheetViews>
    <sheetView workbookViewId="0">
      <selection activeCell="D16" sqref="D16"/>
    </sheetView>
  </sheetViews>
  <sheetFormatPr baseColWidth="10" defaultRowHeight="13.8" x14ac:dyDescent="0.3"/>
  <sheetData>
    <row r="1" spans="1:6" x14ac:dyDescent="0.3">
      <c r="A1" s="16" t="s">
        <v>472</v>
      </c>
      <c r="B1" s="16" t="s">
        <v>57</v>
      </c>
      <c r="C1" s="16" t="s">
        <v>594</v>
      </c>
      <c r="D1" s="16" t="s">
        <v>595</v>
      </c>
      <c r="E1" s="16" t="s">
        <v>596</v>
      </c>
      <c r="F1" s="16" t="s">
        <v>14</v>
      </c>
    </row>
    <row r="2" spans="1:6" x14ac:dyDescent="0.3">
      <c r="A2" t="s">
        <v>317</v>
      </c>
      <c r="B2" s="16" t="s">
        <v>598</v>
      </c>
      <c r="C2" t="s">
        <v>597</v>
      </c>
      <c r="D2">
        <v>1.8</v>
      </c>
      <c r="E2" s="16" t="s">
        <v>599</v>
      </c>
      <c r="F2" t="s">
        <v>604</v>
      </c>
    </row>
    <row r="3" spans="1:6" x14ac:dyDescent="0.3">
      <c r="A3" t="s">
        <v>275</v>
      </c>
      <c r="B3" s="16" t="s">
        <v>601</v>
      </c>
      <c r="C3" s="16" t="s">
        <v>600</v>
      </c>
      <c r="D3">
        <v>1.7</v>
      </c>
      <c r="E3" s="16" t="s">
        <v>602</v>
      </c>
      <c r="F3" t="s">
        <v>603</v>
      </c>
    </row>
    <row r="4" spans="1:6" x14ac:dyDescent="0.3">
      <c r="A4" t="s">
        <v>537</v>
      </c>
      <c r="B4" s="16" t="s">
        <v>605</v>
      </c>
      <c r="C4" t="s">
        <v>606</v>
      </c>
      <c r="D4">
        <v>2</v>
      </c>
      <c r="E4" s="16" t="s">
        <v>602</v>
      </c>
      <c r="F4" t="s">
        <v>607</v>
      </c>
    </row>
    <row r="5" spans="1:6" x14ac:dyDescent="0.3">
      <c r="A5" t="s">
        <v>608</v>
      </c>
      <c r="B5" t="s">
        <v>609</v>
      </c>
      <c r="C5" t="s">
        <v>610</v>
      </c>
      <c r="D5">
        <v>1.1000000000000001</v>
      </c>
      <c r="E5" s="16" t="s">
        <v>611</v>
      </c>
      <c r="F5" t="s">
        <v>612</v>
      </c>
    </row>
    <row r="6" spans="1:6" x14ac:dyDescent="0.3">
      <c r="A6" t="s">
        <v>613</v>
      </c>
      <c r="B6" s="16" t="s">
        <v>614</v>
      </c>
      <c r="C6" t="s">
        <v>616</v>
      </c>
      <c r="D6">
        <v>1.35</v>
      </c>
      <c r="E6" s="16" t="s">
        <v>599</v>
      </c>
      <c r="F6" t="s">
        <v>615</v>
      </c>
    </row>
    <row r="7" spans="1:6" x14ac:dyDescent="0.3">
      <c r="A7" s="16" t="s">
        <v>617</v>
      </c>
      <c r="B7" s="16" t="s">
        <v>598</v>
      </c>
      <c r="C7" s="16" t="s">
        <v>618</v>
      </c>
      <c r="D7">
        <v>0.6</v>
      </c>
      <c r="E7" s="16" t="s">
        <v>518</v>
      </c>
      <c r="F7" t="s">
        <v>619</v>
      </c>
    </row>
    <row r="8" spans="1:6" x14ac:dyDescent="0.3">
      <c r="A8" t="s">
        <v>621</v>
      </c>
      <c r="B8" t="s">
        <v>622</v>
      </c>
      <c r="C8" t="s">
        <v>620</v>
      </c>
      <c r="D8">
        <v>0.7</v>
      </c>
      <c r="E8" s="16" t="s">
        <v>518</v>
      </c>
      <c r="F8" t="s">
        <v>623</v>
      </c>
    </row>
    <row r="9" spans="1:6" x14ac:dyDescent="0.3">
      <c r="A9" t="s">
        <v>627</v>
      </c>
      <c r="B9" t="s">
        <v>626</v>
      </c>
      <c r="C9" t="s">
        <v>624</v>
      </c>
      <c r="D9">
        <v>0.8</v>
      </c>
      <c r="E9" s="16" t="s">
        <v>518</v>
      </c>
      <c r="F9" t="s">
        <v>625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A1547-F279-4C27-902C-961E2687E3D8}">
  <dimension ref="A1:N25"/>
  <sheetViews>
    <sheetView topLeftCell="A4" workbookViewId="0">
      <selection activeCell="A16" sqref="A16"/>
    </sheetView>
  </sheetViews>
  <sheetFormatPr baseColWidth="10" defaultRowHeight="13.8" x14ac:dyDescent="0.3"/>
  <cols>
    <col min="1" max="1" width="27.33203125" bestFit="1" customWidth="1"/>
  </cols>
  <sheetData>
    <row r="1" spans="1:14" x14ac:dyDescent="0.3">
      <c r="A1" t="s">
        <v>638</v>
      </c>
      <c r="B1" s="16" t="s">
        <v>663</v>
      </c>
      <c r="C1" s="16" t="s">
        <v>664</v>
      </c>
      <c r="D1" s="16" t="s">
        <v>665</v>
      </c>
      <c r="E1" s="16" t="s">
        <v>666</v>
      </c>
      <c r="F1" s="16" t="s">
        <v>667</v>
      </c>
      <c r="G1" s="16" t="s">
        <v>668</v>
      </c>
      <c r="H1" s="16" t="s">
        <v>669</v>
      </c>
      <c r="M1" s="16" t="s">
        <v>663</v>
      </c>
      <c r="N1" s="16" t="s">
        <v>673</v>
      </c>
    </row>
    <row r="2" spans="1:14" x14ac:dyDescent="0.3">
      <c r="A2" t="s">
        <v>639</v>
      </c>
      <c r="B2" t="s">
        <v>670</v>
      </c>
      <c r="C2" t="s">
        <v>670</v>
      </c>
      <c r="D2" t="s">
        <v>671</v>
      </c>
      <c r="E2" t="s">
        <v>671</v>
      </c>
      <c r="F2" t="s">
        <v>671</v>
      </c>
      <c r="G2" t="s">
        <v>671</v>
      </c>
      <c r="H2" t="s">
        <v>671</v>
      </c>
      <c r="M2" s="16" t="s">
        <v>664</v>
      </c>
      <c r="N2" t="s">
        <v>674</v>
      </c>
    </row>
    <row r="3" spans="1:14" x14ac:dyDescent="0.3">
      <c r="A3" t="s">
        <v>640</v>
      </c>
      <c r="B3" t="s">
        <v>671</v>
      </c>
      <c r="C3" t="s">
        <v>670</v>
      </c>
      <c r="D3" t="s">
        <v>671</v>
      </c>
      <c r="E3" t="s">
        <v>671</v>
      </c>
      <c r="F3" t="s">
        <v>670</v>
      </c>
      <c r="G3" t="s">
        <v>670</v>
      </c>
      <c r="H3" t="s">
        <v>670</v>
      </c>
      <c r="M3" s="16" t="s">
        <v>665</v>
      </c>
      <c r="N3" s="16" t="s">
        <v>675</v>
      </c>
    </row>
    <row r="4" spans="1:14" x14ac:dyDescent="0.3">
      <c r="A4" t="s">
        <v>641</v>
      </c>
      <c r="B4" t="s">
        <v>671</v>
      </c>
      <c r="C4" t="s">
        <v>671</v>
      </c>
      <c r="D4" t="s">
        <v>671</v>
      </c>
      <c r="E4" t="s">
        <v>671</v>
      </c>
      <c r="F4" t="s">
        <v>670</v>
      </c>
      <c r="G4" t="s">
        <v>671</v>
      </c>
      <c r="H4" t="s">
        <v>670</v>
      </c>
      <c r="M4" s="16" t="s">
        <v>666</v>
      </c>
      <c r="N4" s="16" t="s">
        <v>676</v>
      </c>
    </row>
    <row r="5" spans="1:14" x14ac:dyDescent="0.3">
      <c r="A5" t="s">
        <v>642</v>
      </c>
      <c r="B5" t="s">
        <v>671</v>
      </c>
      <c r="C5" t="s">
        <v>671</v>
      </c>
      <c r="D5" t="s">
        <v>671</v>
      </c>
      <c r="E5" t="s">
        <v>670</v>
      </c>
      <c r="F5" t="s">
        <v>670</v>
      </c>
      <c r="G5" t="s">
        <v>670</v>
      </c>
      <c r="H5" t="s">
        <v>671</v>
      </c>
      <c r="M5" s="16" t="s">
        <v>667</v>
      </c>
      <c r="N5" s="16" t="s">
        <v>677</v>
      </c>
    </row>
    <row r="6" spans="1:14" x14ac:dyDescent="0.3">
      <c r="A6" t="s">
        <v>643</v>
      </c>
      <c r="B6" t="s">
        <v>671</v>
      </c>
      <c r="C6" t="s">
        <v>670</v>
      </c>
      <c r="D6" t="s">
        <v>671</v>
      </c>
      <c r="E6" t="s">
        <v>670</v>
      </c>
      <c r="F6" t="s">
        <v>670</v>
      </c>
      <c r="G6" t="s">
        <v>670</v>
      </c>
      <c r="H6" t="s">
        <v>670</v>
      </c>
      <c r="M6" s="16" t="s">
        <v>668</v>
      </c>
      <c r="N6" s="16" t="s">
        <v>678</v>
      </c>
    </row>
    <row r="7" spans="1:14" x14ac:dyDescent="0.3">
      <c r="A7" t="s">
        <v>644</v>
      </c>
      <c r="B7" t="s">
        <v>670</v>
      </c>
      <c r="C7" t="s">
        <v>670</v>
      </c>
      <c r="D7" t="s">
        <v>670</v>
      </c>
      <c r="E7" t="s">
        <v>670</v>
      </c>
      <c r="F7" t="s">
        <v>670</v>
      </c>
      <c r="G7" t="s">
        <v>671</v>
      </c>
      <c r="H7" t="s">
        <v>671</v>
      </c>
      <c r="M7" s="16" t="s">
        <v>669</v>
      </c>
      <c r="N7" s="16" t="s">
        <v>679</v>
      </c>
    </row>
    <row r="8" spans="1:14" x14ac:dyDescent="0.3">
      <c r="A8" t="s">
        <v>645</v>
      </c>
      <c r="B8" t="s">
        <v>671</v>
      </c>
      <c r="C8" t="s">
        <v>681</v>
      </c>
      <c r="D8" t="s">
        <v>671</v>
      </c>
      <c r="E8" t="s">
        <v>671</v>
      </c>
      <c r="F8" t="s">
        <v>681</v>
      </c>
      <c r="G8" t="s">
        <v>671</v>
      </c>
      <c r="H8" t="s">
        <v>671</v>
      </c>
      <c r="M8" s="16"/>
    </row>
    <row r="9" spans="1:14" x14ac:dyDescent="0.3">
      <c r="A9" t="s">
        <v>646</v>
      </c>
      <c r="B9" t="s">
        <v>670</v>
      </c>
      <c r="C9" t="s">
        <v>670</v>
      </c>
      <c r="D9" t="s">
        <v>671</v>
      </c>
      <c r="E9" t="s">
        <v>670</v>
      </c>
      <c r="F9" t="s">
        <v>670</v>
      </c>
      <c r="G9" t="s">
        <v>670</v>
      </c>
      <c r="H9" t="s">
        <v>670</v>
      </c>
      <c r="M9" s="16" t="s">
        <v>680</v>
      </c>
      <c r="N9" s="16"/>
    </row>
    <row r="10" spans="1:14" x14ac:dyDescent="0.3">
      <c r="A10" t="s">
        <v>647</v>
      </c>
      <c r="B10" t="s">
        <v>671</v>
      </c>
      <c r="C10" t="s">
        <v>671</v>
      </c>
      <c r="D10" t="s">
        <v>671</v>
      </c>
      <c r="E10" t="s">
        <v>671</v>
      </c>
      <c r="F10" t="s">
        <v>670</v>
      </c>
      <c r="G10" t="s">
        <v>670</v>
      </c>
      <c r="H10" t="s">
        <v>670</v>
      </c>
      <c r="M10" s="16" t="s">
        <v>681</v>
      </c>
      <c r="N10" s="16"/>
    </row>
    <row r="11" spans="1:14" x14ac:dyDescent="0.3">
      <c r="A11" t="s">
        <v>648</v>
      </c>
      <c r="B11" t="s">
        <v>671</v>
      </c>
      <c r="C11" t="s">
        <v>670</v>
      </c>
      <c r="D11" t="s">
        <v>671</v>
      </c>
      <c r="E11" t="s">
        <v>671</v>
      </c>
      <c r="F11" t="s">
        <v>670</v>
      </c>
      <c r="G11" t="s">
        <v>670</v>
      </c>
      <c r="H11" t="s">
        <v>670</v>
      </c>
      <c r="M11" s="16" t="s">
        <v>671</v>
      </c>
      <c r="N11" s="16"/>
    </row>
    <row r="12" spans="1:14" x14ac:dyDescent="0.3">
      <c r="A12" t="s">
        <v>649</v>
      </c>
      <c r="B12" t="s">
        <v>681</v>
      </c>
      <c r="C12" t="s">
        <v>681</v>
      </c>
      <c r="D12" t="s">
        <v>672</v>
      </c>
      <c r="E12" t="s">
        <v>672</v>
      </c>
      <c r="F12" t="s">
        <v>681</v>
      </c>
      <c r="G12" t="s">
        <v>671</v>
      </c>
      <c r="H12" t="s">
        <v>670</v>
      </c>
      <c r="M12" s="16" t="s">
        <v>682</v>
      </c>
    </row>
    <row r="13" spans="1:14" x14ac:dyDescent="0.3">
      <c r="A13" t="s">
        <v>650</v>
      </c>
      <c r="B13" t="s">
        <v>670</v>
      </c>
      <c r="C13" t="s">
        <v>670</v>
      </c>
      <c r="D13" t="s">
        <v>670</v>
      </c>
      <c r="E13" t="s">
        <v>670</v>
      </c>
      <c r="F13" t="s">
        <v>670</v>
      </c>
      <c r="G13" t="s">
        <v>670</v>
      </c>
      <c r="H13" t="s">
        <v>670</v>
      </c>
      <c r="M13" s="16" t="s">
        <v>672</v>
      </c>
    </row>
    <row r="14" spans="1:14" x14ac:dyDescent="0.3">
      <c r="A14" t="s">
        <v>651</v>
      </c>
      <c r="B14" t="s">
        <v>671</v>
      </c>
      <c r="C14" t="s">
        <v>671</v>
      </c>
      <c r="D14" t="s">
        <v>671</v>
      </c>
      <c r="E14" t="s">
        <v>672</v>
      </c>
      <c r="F14" t="s">
        <v>671</v>
      </c>
      <c r="G14" t="s">
        <v>671</v>
      </c>
      <c r="H14" t="s">
        <v>671</v>
      </c>
    </row>
    <row r="15" spans="1:14" x14ac:dyDescent="0.3">
      <c r="A15" t="s">
        <v>652</v>
      </c>
      <c r="B15" t="s">
        <v>671</v>
      </c>
      <c r="C15" t="s">
        <v>681</v>
      </c>
      <c r="D15" t="s">
        <v>671</v>
      </c>
      <c r="E15" t="s">
        <v>681</v>
      </c>
      <c r="F15" t="s">
        <v>681</v>
      </c>
      <c r="G15" t="s">
        <v>671</v>
      </c>
      <c r="H15" t="s">
        <v>670</v>
      </c>
    </row>
    <row r="16" spans="1:14" x14ac:dyDescent="0.3">
      <c r="A16" t="s">
        <v>653</v>
      </c>
      <c r="B16" t="s">
        <v>670</v>
      </c>
      <c r="C16" t="s">
        <v>671</v>
      </c>
      <c r="D16" t="s">
        <v>670</v>
      </c>
      <c r="E16" t="s">
        <v>671</v>
      </c>
      <c r="F16" t="s">
        <v>681</v>
      </c>
      <c r="G16" t="s">
        <v>681</v>
      </c>
      <c r="H16" t="s">
        <v>680</v>
      </c>
    </row>
    <row r="17" spans="1:8" x14ac:dyDescent="0.3">
      <c r="A17" t="s">
        <v>654</v>
      </c>
      <c r="B17" t="s">
        <v>670</v>
      </c>
      <c r="C17" t="s">
        <v>670</v>
      </c>
      <c r="D17" t="s">
        <v>670</v>
      </c>
      <c r="E17" t="s">
        <v>672</v>
      </c>
      <c r="F17" t="s">
        <v>670</v>
      </c>
      <c r="G17" t="s">
        <v>670</v>
      </c>
      <c r="H17" t="s">
        <v>670</v>
      </c>
    </row>
    <row r="18" spans="1:8" x14ac:dyDescent="0.3">
      <c r="A18" t="s">
        <v>655</v>
      </c>
      <c r="B18" t="s">
        <v>681</v>
      </c>
      <c r="C18" t="s">
        <v>683</v>
      </c>
      <c r="D18" t="s">
        <v>681</v>
      </c>
      <c r="E18" t="s">
        <v>681</v>
      </c>
      <c r="F18" t="s">
        <v>681</v>
      </c>
      <c r="G18" t="s">
        <v>671</v>
      </c>
      <c r="H18" t="s">
        <v>670</v>
      </c>
    </row>
    <row r="19" spans="1:8" x14ac:dyDescent="0.3">
      <c r="A19" t="s">
        <v>656</v>
      </c>
      <c r="B19" t="s">
        <v>681</v>
      </c>
      <c r="C19" t="s">
        <v>681</v>
      </c>
      <c r="D19" t="s">
        <v>671</v>
      </c>
      <c r="E19" t="s">
        <v>681</v>
      </c>
      <c r="F19" t="s">
        <v>671</v>
      </c>
      <c r="G19" t="s">
        <v>670</v>
      </c>
      <c r="H19" t="s">
        <v>670</v>
      </c>
    </row>
    <row r="20" spans="1:8" x14ac:dyDescent="0.3">
      <c r="A20" t="s">
        <v>657</v>
      </c>
      <c r="B20" t="s">
        <v>671</v>
      </c>
      <c r="C20" t="s">
        <v>681</v>
      </c>
      <c r="D20" t="s">
        <v>671</v>
      </c>
      <c r="E20" t="s">
        <v>670</v>
      </c>
      <c r="F20" t="s">
        <v>670</v>
      </c>
      <c r="G20" t="s">
        <v>671</v>
      </c>
      <c r="H20" t="s">
        <v>671</v>
      </c>
    </row>
    <row r="21" spans="1:8" x14ac:dyDescent="0.3">
      <c r="A21" t="s">
        <v>658</v>
      </c>
      <c r="B21" t="s">
        <v>671</v>
      </c>
      <c r="C21" t="s">
        <v>681</v>
      </c>
      <c r="D21" t="s">
        <v>681</v>
      </c>
      <c r="E21" t="s">
        <v>671</v>
      </c>
      <c r="F21" t="s">
        <v>671</v>
      </c>
      <c r="G21" t="s">
        <v>670</v>
      </c>
      <c r="H21" t="s">
        <v>670</v>
      </c>
    </row>
    <row r="22" spans="1:8" x14ac:dyDescent="0.3">
      <c r="A22" t="s">
        <v>659</v>
      </c>
      <c r="B22" t="s">
        <v>670</v>
      </c>
      <c r="C22" t="s">
        <v>670</v>
      </c>
      <c r="D22" t="s">
        <v>670</v>
      </c>
      <c r="E22" t="s">
        <v>670</v>
      </c>
      <c r="F22" t="s">
        <v>670</v>
      </c>
      <c r="G22" t="s">
        <v>670</v>
      </c>
      <c r="H22" t="s">
        <v>670</v>
      </c>
    </row>
    <row r="23" spans="1:8" x14ac:dyDescent="0.3">
      <c r="A23" t="s">
        <v>660</v>
      </c>
      <c r="B23" t="s">
        <v>671</v>
      </c>
      <c r="C23" t="s">
        <v>670</v>
      </c>
      <c r="D23" t="s">
        <v>671</v>
      </c>
      <c r="E23" t="s">
        <v>671</v>
      </c>
      <c r="F23" t="s">
        <v>681</v>
      </c>
      <c r="G23" t="s">
        <v>671</v>
      </c>
      <c r="H23" t="s">
        <v>671</v>
      </c>
    </row>
    <row r="24" spans="1:8" x14ac:dyDescent="0.3">
      <c r="A24" t="s">
        <v>661</v>
      </c>
      <c r="B24" t="s">
        <v>670</v>
      </c>
      <c r="C24" t="s">
        <v>671</v>
      </c>
      <c r="D24" t="s">
        <v>670</v>
      </c>
      <c r="E24" t="s">
        <v>672</v>
      </c>
      <c r="F24" t="s">
        <v>671</v>
      </c>
      <c r="G24" t="s">
        <v>670</v>
      </c>
      <c r="H24" t="s">
        <v>670</v>
      </c>
    </row>
    <row r="25" spans="1:8" x14ac:dyDescent="0.3">
      <c r="A25" t="s">
        <v>662</v>
      </c>
      <c r="B25" t="s">
        <v>670</v>
      </c>
      <c r="C25" t="s">
        <v>670</v>
      </c>
      <c r="D25" t="s">
        <v>670</v>
      </c>
      <c r="E25" t="s">
        <v>672</v>
      </c>
      <c r="F25" t="s">
        <v>670</v>
      </c>
      <c r="G25" t="s">
        <v>670</v>
      </c>
      <c r="H25" t="s">
        <v>670</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Sheet1</vt:lpstr>
      <vt:lpstr>Hoja1</vt:lpstr>
      <vt:lpstr>Hoja2</vt:lpstr>
      <vt:lpstr>Hoja3</vt:lpstr>
      <vt:lpstr>Hoja4</vt:lpstr>
      <vt:lpstr>Hoja5</vt:lpstr>
      <vt:lpstr>Hoja6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Ortiz</dc:creator>
  <cp:lastModifiedBy>Javier Ventura Cordero</cp:lastModifiedBy>
  <dcterms:created xsi:type="dcterms:W3CDTF">2025-01-21T20:12:20Z</dcterms:created>
  <dcterms:modified xsi:type="dcterms:W3CDTF">2025-12-09T15:57:57Z</dcterms:modified>
</cp:coreProperties>
</file>